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cions" sheetId="1" state="visible" r:id="rId3"/>
    <sheet name="Resum" sheetId="2" state="visible" r:id="rId4"/>
    <sheet name="Web" sheetId="3" state="visible" r:id="rId5"/>
    <sheet name="Landing" sheetId="4" state="visible" r:id="rId6"/>
    <sheet name="Auditoria" sheetId="5" state="visible" r:id="rId7"/>
    <sheet name="Extres" sheetId="6" state="visible" r:id="rId8"/>
    <sheet name="Col·laboració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<sst xmlns="http://schemas.openxmlformats.org/spreadsheetml/2006/main" count="331" uniqueCount="152">
  <si>
    <t xml:space="preserve">Escandall de preus — Assumpcions</t>
  </si>
  <si>
    <t xml:space="preserve">Toca només les cel·les grogues (inputs). Tota la resta recalcula sola.</t>
  </si>
  <si>
    <t xml:space="preserve">Tarifes internes (€/h) — sensibilitat</t>
  </si>
  <si>
    <t xml:space="preserve">Tarifa baixa</t>
  </si>
  <si>
    <t xml:space="preserve">Tarifa mitjana</t>
  </si>
  <si>
    <t xml:space="preserve">Tarifa alta</t>
  </si>
  <si>
    <t xml:space="preserve">Estalvi d'hores per IA, per disciplina</t>
  </si>
  <si>
    <t xml:space="preserve">Disciplina</t>
  </si>
  <si>
    <t xml:space="preserve">% estalvi IA</t>
  </si>
  <si>
    <t xml:space="preserve">Descoberta / Immersió</t>
  </si>
  <si>
    <t xml:space="preserve">UX i arquitectura</t>
  </si>
  <si>
    <t xml:space="preserve">UI i visual</t>
  </si>
  <si>
    <t xml:space="preserve">Desenvolupament</t>
  </si>
  <si>
    <t xml:space="preserve">Redacció / contingut</t>
  </si>
  <si>
    <t xml:space="preserve">QA / Producció</t>
  </si>
  <si>
    <t xml:space="preserve">Gestió / coordinació</t>
  </si>
  <si>
    <t xml:space="preserve">Marge mínim sobre el cost de temps</t>
  </si>
  <si>
    <t xml:space="preserve">Marge objectiu</t>
  </si>
  <si>
    <t xml:space="preserve">Arrodoniment del preu (€)</t>
  </si>
  <si>
    <t xml:space="preserve">Llegenda</t>
  </si>
  <si>
    <t xml:space="preserve">Groc = input editable   ·   Verd = enllaç a Assumpcions   ·   Negre = fórmula</t>
  </si>
  <si>
    <t xml:space="preserve">Les hores són estimacions senior de partida (sense IA); ajusteu-les a cada pestanya.</t>
  </si>
  <si>
    <t xml:space="preserve">Rangs de mercat: freelance sènior, Espanya, dades 2026 (fonts a sota). Editables a cada pestanya.</t>
  </si>
  <si>
    <t xml:space="preserve">Fonts de mercat (2026)</t>
  </si>
  <si>
    <t xml:space="preserve">Web corporativa a mida sènior: 2.000–4.000 € · sencilla 800–2.000 €.</t>
  </si>
  <si>
    <t xml:space="preserve">Landing personalitzada: 600–1.500 € (bàsica plantilla 250–600 €).</t>
  </si>
  <si>
    <t xml:space="preserve">Tarifa/h UX/UI sènior ES: 35–90 € · Barcelona/Madrid 60–90 € · especialista 80–100+.</t>
  </si>
  <si>
    <t xml:space="preserve">Auditoria UX: 800–3.500 € (amb test d'usuaris, des de ~1.290 €).</t>
  </si>
  <si>
    <t xml:space="preserve">creasitios.com · pacoruben.com · bierzoseo.com · begoromero.com · reactivaonline.com</t>
  </si>
  <si>
    <t xml:space="preserve">malt.es (baròmetre UX) · tarifaautonomo.com · adaptivetech.es · continueweb.com</t>
  </si>
  <si>
    <t xml:space="preserve">Resum comparatiu de preus</t>
  </si>
  <si>
    <t xml:space="preserve">Cost de temps a tarifa mitjana (35 €/h, amb IA) vs preu proposat vs mercat. Tot enllaçat.</t>
  </si>
  <si>
    <t xml:space="preserve">Producte</t>
  </si>
  <si>
    <t xml:space="preserve">Cost temps @35</t>
  </si>
  <si>
    <t xml:space="preserve">Preu proposat</t>
  </si>
  <si>
    <t xml:space="preserve">Marge @35</t>
  </si>
  <si>
    <t xml:space="preserve">Preu mínim</t>
  </si>
  <si>
    <t xml:space="preserve">Mercat mín</t>
  </si>
  <si>
    <t xml:space="preserve">Mercat màx</t>
  </si>
  <si>
    <t xml:space="preserve">Preu dins de mercat?</t>
  </si>
  <si>
    <t xml:space="preserve">Web · Tot</t>
  </si>
  <si>
    <t xml:space="preserve">Web · UX Design</t>
  </si>
  <si>
    <t xml:space="preserve">Web · UI Design</t>
  </si>
  <si>
    <t xml:space="preserve">Web · Desenvolupament</t>
  </si>
  <si>
    <t xml:space="preserve">Landing · Tot</t>
  </si>
  <si>
    <t xml:space="preserve">Landing · UX Design</t>
  </si>
  <si>
    <t xml:space="preserve">Landing · UI Design</t>
  </si>
  <si>
    <t xml:space="preserve">Landing · Desenvolupament</t>
  </si>
  <si>
    <t xml:space="preserve">Auditoria UI/UX</t>
  </si>
  <si>
    <t xml:space="preserve">Escandall — Web</t>
  </si>
  <si>
    <t xml:space="preserve">Hores de partida en blau (editables). Preu proposat i mercat també editables (blau).</t>
  </si>
  <si>
    <t xml:space="preserve">Fase</t>
  </si>
  <si>
    <t xml:space="preserve">Hores base</t>
  </si>
  <si>
    <t xml:space="preserve">% IA</t>
  </si>
  <si>
    <t xml:space="preserve">Hores amb IA</t>
  </si>
  <si>
    <t xml:space="preserve">Cost @30</t>
  </si>
  <si>
    <t xml:space="preserve">Cost @35</t>
  </si>
  <si>
    <t xml:space="preserve">Cost @40</t>
  </si>
  <si>
    <t xml:space="preserve">Immersió</t>
  </si>
  <si>
    <t xml:space="preserve">Descoberta</t>
  </si>
  <si>
    <t xml:space="preserve">Disseny UX i arquitectura</t>
  </si>
  <si>
    <t xml:space="preserve">UX</t>
  </si>
  <si>
    <t xml:space="preserve">Disseny UI</t>
  </si>
  <si>
    <t xml:space="preserve">UI</t>
  </si>
  <si>
    <t xml:space="preserve">Desenvolupament a mida</t>
  </si>
  <si>
    <t xml:space="preserve">Dev</t>
  </si>
  <si>
    <t xml:space="preserve">Posada en producció</t>
  </si>
  <si>
    <t xml:space="preserve">QA/Prod</t>
  </si>
  <si>
    <t xml:space="preserve">Subtotal</t>
  </si>
  <si>
    <t xml:space="preserve">Lliurament i traspàs</t>
  </si>
  <si>
    <t xml:space="preserve">Gestió</t>
  </si>
  <si>
    <t xml:space="preserve">Resum Web</t>
  </si>
  <si>
    <t xml:space="preserve">Rol</t>
  </si>
  <si>
    <t xml:space="preserve">Hores IA</t>
  </si>
  <si>
    <t xml:space="preserve">Cost temps @30</t>
  </si>
  <si>
    <t xml:space="preserve">Cost temps @40</t>
  </si>
  <si>
    <t xml:space="preserve">Preu mínim (marge obj.)</t>
  </si>
  <si>
    <t xml:space="preserve">Tot</t>
  </si>
  <si>
    <t xml:space="preserve">UX Design</t>
  </si>
  <si>
    <t xml:space="preserve">UI Design</t>
  </si>
  <si>
    <t xml:space="preserve">Escandall — Landing</t>
  </si>
  <si>
    <t xml:space="preserve">Resum Landing</t>
  </si>
  <si>
    <t xml:space="preserve">Escandall — Auditoria (per focus)</t>
  </si>
  <si>
    <t xml:space="preserve">Base per combinació de focus (UX/UI/Dev) + talla d'abast + extres. Producte d'entrada; es descompta si es converteix a projecte en 3 mesos.</t>
  </si>
  <si>
    <t xml:space="preserve">Cost de temps per component (amb IA)</t>
  </si>
  <si>
    <t xml:space="preserve">Component</t>
  </si>
  <si>
    <t xml:space="preserve">Hores</t>
  </si>
  <si>
    <t xml:space="preserve">Lent UX — heurística i fluxos</t>
  </si>
  <si>
    <t xml:space="preserve">Lent UI — visual i sistema</t>
  </si>
  <si>
    <t xml:space="preserve">Lent Dev — perf, a11y, SEO</t>
  </si>
  <si>
    <t xml:space="preserve">Informe prioritzat</t>
  </si>
  <si>
    <t xml:space="preserve">Redacció</t>
  </si>
  <si>
    <t xml:space="preserve">Sessió de retorn 90'</t>
  </si>
  <si>
    <t xml:space="preserve">Roadmap accionable</t>
  </si>
  <si>
    <t xml:space="preserve">Base compartida (informe + sessió + roadmap)</t>
  </si>
  <si>
    <t xml:space="preserve">Preu per combinació de focus</t>
  </si>
  <si>
    <t xml:space="preserve">Combinació</t>
  </si>
  <si>
    <t xml:space="preserve">1 focus (UX / UI o Dev sol)</t>
  </si>
  <si>
    <t xml:space="preserve">2 focus</t>
  </si>
  <si>
    <t xml:space="preserve">3 focus · Tot</t>
  </si>
  <si>
    <t xml:space="preserve">Cost '1 focus' calculat amb la lent UX com a representativa; Dev sol queda una mica més just.</t>
  </si>
  <si>
    <t xml:space="preserve">Abast (talla) — increment sobre la base</t>
  </si>
  <si>
    <t xml:space="preserve">Talla</t>
  </si>
  <si>
    <t xml:space="preserve">Descripció</t>
  </si>
  <si>
    <t xml:space="preserve">Hores addic.</t>
  </si>
  <si>
    <t xml:space="preserve">Increment de preu</t>
  </si>
  <si>
    <t xml:space="preserve">S</t>
  </si>
  <si>
    <t xml:space="preserve">Fins a 2 fluxos / 10 pantalles (inclòs)</t>
  </si>
  <si>
    <t xml:space="preserve">M</t>
  </si>
  <si>
    <t xml:space="preserve">Fins a 4 fluxos / 20 pantalles</t>
  </si>
  <si>
    <t xml:space="preserve">L</t>
  </si>
  <si>
    <t xml:space="preserve">Fins a 8 fluxos / 40 pantalles o 2 productes</t>
  </si>
  <si>
    <t xml:space="preserve">Extres de l'auditoria</t>
  </si>
  <si>
    <t xml:space="preserve">Extra</t>
  </si>
  <si>
    <t xml:space="preserve">Preu</t>
  </si>
  <si>
    <t xml:space="preserve">Test amb usuaris (5 participants)</t>
  </si>
  <si>
    <t xml:space="preserve">Auditoria accessibilitat WCAG 2.2 AA</t>
  </si>
  <si>
    <t xml:space="preserve">Benchmark competitiu (3 competidors)</t>
  </si>
  <si>
    <t xml:space="preserve">Analítica i comportament real</t>
  </si>
  <si>
    <t xml:space="preserve">Anàlisi de conversió</t>
  </si>
  <si>
    <t xml:space="preserve">Revisió UX writing / microcopy</t>
  </si>
  <si>
    <t xml:space="preserve">Recomanacions navegables a Figma</t>
  </si>
  <si>
    <t xml:space="preserve">Escandall — Extres del configurador</t>
  </si>
  <si>
    <t xml:space="preserve">Cost de temps (amb IA) vs preu de cada extra. Hores i preu editables (blau).</t>
  </si>
  <si>
    <t xml:space="preserve">Nota</t>
  </si>
  <si>
    <t xml:space="preserve">Pàgina extra</t>
  </si>
  <si>
    <t xml:space="preserve">Preu segons rol: Tot 200 · Dev 100 · UX/UI 50 €/pàgina</t>
  </si>
  <si>
    <t xml:space="preserve">Idioma extra</t>
  </si>
  <si>
    <t xml:space="preserve">Implementació i cablejat; traduccions a càrrec del client</t>
  </si>
  <si>
    <t xml:space="preserve">Motion i interacció premium</t>
  </si>
  <si>
    <t xml:space="preserve">Animació/interacció avançada (GSAP)</t>
  </si>
  <si>
    <t xml:space="preserve">CMS bàsic</t>
  </si>
  <si>
    <t xml:space="preserve">Només web</t>
  </si>
  <si>
    <t xml:space="preserve">Redacció de textos (per pàgina)</t>
  </si>
  <si>
    <t xml:space="preserve">Preu = 80 € × pàgines totals de la web</t>
  </si>
  <si>
    <t xml:space="preserve">Els marges alts són normals: l'IA comprimeix molt les hores dels extres. Marge per fer paquets o negociar.</t>
  </si>
  <si>
    <t xml:space="preserve">Col·laboració amb agències — tarifa vs mercat</t>
  </si>
  <si>
    <t xml:space="preserve">Línia A: no és escandall d'hores sinó posicionament de tarifa. 30 €/h és el terra, mai la base.</t>
  </si>
  <si>
    <t xml:space="preserve">Modalitat</t>
  </si>
  <si>
    <t xml:space="preserve">Tarifa Marius (€/h)</t>
  </si>
  <si>
    <t xml:space="preserve">h/mes ref.</t>
  </si>
  <si>
    <t xml:space="preserve">Equivalent mensual</t>
  </si>
  <si>
    <t xml:space="preserve">Mercat mín (€/h)</t>
  </si>
  <si>
    <t xml:space="preserve">Mercat màx (€/h)</t>
  </si>
  <si>
    <t xml:space="preserve">Posició vs punt mig</t>
  </si>
  <si>
    <t xml:space="preserve">Ad-hoc / hores soltes</t>
  </si>
  <si>
    <t xml:space="preserve">Setmana completa</t>
  </si>
  <si>
    <t xml:space="preserve">Mes complet</t>
  </si>
  <si>
    <t xml:space="preserve">Compromís 3+ mesos</t>
  </si>
  <si>
    <t xml:space="preserve">Modificadors: urgència &lt;48h +10% · dedicació parcial → tram superior · renovació manté tarifa.</t>
  </si>
  <si>
    <t xml:space="preserve">IA no abarateix aquesta línia (es ven perfil senior per hora); sí que augmenta la teva producció per hora.</t>
  </si>
  <si>
    <t xml:space="preserve">Rangs = tarifa a AGÈNCIA (Espanya, sènior, 2026). Client directe puja a 60–90 €/h (Barcelona/Madrid). Fonts: Malt, tarifaautonomo.com.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</si>
</sst>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;\-#,##0&quot; €&quot;;\-"/>
    <numFmt numFmtId="166" formatCode="0.0%"/>
    <numFmt numFmtId="167" formatCode="#,##0"/>
    <numFmt numFmtId="168" formatCode="#,##0.0"/>
    <numFmt numFmtId="169" formatCode="\+#,##0&quot; €&quot;;\-#,##0&quot; €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2"/>
        <bgColor rgb="FFEDEDEB"/>
      </patternFill>
    </fill>
    <fill>
      <patternFill patternType="solid">
        <fgColor rgb="FF1A1A1A"/>
        <bgColor rgb="FF333300"/>
      </patternFill>
    </fill>
    <fill>
      <patternFill patternType="solid">
        <fgColor rgb="FFEDED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30</v>
      </c>
    </row>
    <row r="6" customFormat="false" ht="15" hidden="false" customHeight="false" outlineLevel="0" collapsed="false">
      <c r="A6" s="4" t="s">
        <v>4</v>
      </c>
      <c r="B6" s="5" t="n">
        <v>35</v>
      </c>
    </row>
    <row r="7" customFormat="false" ht="15" hidden="false" customHeight="false" outlineLevel="0" collapsed="false">
      <c r="A7" s="4" t="s">
        <v>5</v>
      </c>
      <c r="B7" s="5" t="n">
        <v>40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6" t="s">
        <v>7</v>
      </c>
      <c r="B10" s="6" t="s">
        <v>8</v>
      </c>
    </row>
    <row r="11" customFormat="false" ht="15" hidden="false" customHeight="false" outlineLevel="0" collapsed="false">
      <c r="A11" s="7" t="s">
        <v>9</v>
      </c>
      <c r="B11" s="8" t="n">
        <v>0.15</v>
      </c>
    </row>
    <row r="12" customFormat="false" ht="15" hidden="false" customHeight="false" outlineLevel="0" collapsed="false">
      <c r="A12" s="7" t="s">
        <v>10</v>
      </c>
      <c r="B12" s="8" t="n">
        <v>0.3</v>
      </c>
    </row>
    <row r="13" customFormat="false" ht="15" hidden="false" customHeight="false" outlineLevel="0" collapsed="false">
      <c r="A13" s="7" t="s">
        <v>11</v>
      </c>
      <c r="B13" s="8" t="n">
        <v>0.45</v>
      </c>
    </row>
    <row r="14" customFormat="false" ht="15" hidden="false" customHeight="false" outlineLevel="0" collapsed="false">
      <c r="A14" s="7" t="s">
        <v>12</v>
      </c>
      <c r="B14" s="8" t="n">
        <v>0.5</v>
      </c>
    </row>
    <row r="15" customFormat="false" ht="15" hidden="false" customHeight="false" outlineLevel="0" collapsed="false">
      <c r="A15" s="7" t="s">
        <v>13</v>
      </c>
      <c r="B15" s="8" t="n">
        <v>0.6</v>
      </c>
    </row>
    <row r="16" customFormat="false" ht="15" hidden="false" customHeight="false" outlineLevel="0" collapsed="false">
      <c r="A16" s="7" t="s">
        <v>14</v>
      </c>
      <c r="B16" s="8" t="n">
        <v>0.25</v>
      </c>
    </row>
    <row r="17" customFormat="false" ht="15" hidden="false" customHeight="false" outlineLevel="0" collapsed="false">
      <c r="A17" s="7" t="s">
        <v>15</v>
      </c>
      <c r="B17" s="8" t="n">
        <v>0.2</v>
      </c>
    </row>
    <row r="19" customFormat="false" ht="15" hidden="false" customHeight="false" outlineLevel="0" collapsed="false">
      <c r="A19" s="3" t="s">
        <v>16</v>
      </c>
    </row>
    <row r="20" customFormat="false" ht="15" hidden="false" customHeight="false" outlineLevel="0" collapsed="false">
      <c r="A20" s="4" t="s">
        <v>17</v>
      </c>
      <c r="B20" s="9" t="n">
        <v>0.25</v>
      </c>
    </row>
    <row r="21" customFormat="false" ht="15" hidden="false" customHeight="false" outlineLevel="0" collapsed="false">
      <c r="A21" s="4" t="s">
        <v>18</v>
      </c>
      <c r="B21" s="10" t="n">
        <v>10</v>
      </c>
    </row>
    <row r="23" customFormat="false" ht="15" hidden="false" customHeight="false" outlineLevel="0" collapsed="false">
      <c r="A23" s="11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4"/>
  </cols>
  <sheetData>
    <row r="1" customFormat="false" ht="18.5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2.3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</row>
    <row r="5" customFormat="false" ht="15" hidden="false" customHeight="false" outlineLevel="0" collapsed="false">
      <c r="A5" s="12" t="s">
        <v>40</v>
      </c>
      <c r="B5" s="13" t="n">
        <f aca="false">Web!D36</f>
        <v>1907.5</v>
      </c>
      <c r="C5" s="13" t="n">
        <f aca="false">Web!F36</f>
        <v>2400</v>
      </c>
      <c r="D5" s="14" t="n">
        <f aca="false">Web!G36</f>
        <v>0.205208333333333</v>
      </c>
      <c r="E5" s="13" t="n">
        <f aca="false">Web!H36</f>
        <v>2540</v>
      </c>
      <c r="F5" s="13" t="n">
        <f aca="false">Web!I36</f>
        <v>2000</v>
      </c>
      <c r="G5" s="13" t="n">
        <f aca="false">Web!J36</f>
        <v>4000</v>
      </c>
      <c r="H5" s="15" t="str">
        <f aca="false">IF(AND(C5&gt;=F5,C5&lt;=G5),"Sí","Revisar")</f>
        <v>Sí</v>
      </c>
    </row>
    <row r="6" customFormat="false" ht="15" hidden="false" customHeight="false" outlineLevel="0" collapsed="false">
      <c r="A6" s="12" t="s">
        <v>41</v>
      </c>
      <c r="B6" s="13" t="n">
        <f aca="false">Web!D37</f>
        <v>840</v>
      </c>
      <c r="C6" s="13" t="n">
        <f aca="false">Web!F37</f>
        <v>960</v>
      </c>
      <c r="D6" s="14" t="n">
        <f aca="false">Web!G37</f>
        <v>0.125</v>
      </c>
      <c r="E6" s="13" t="n">
        <f aca="false">Web!H37</f>
        <v>1120</v>
      </c>
      <c r="F6" s="13" t="n">
        <f aca="false">Web!I37</f>
        <v>800</v>
      </c>
      <c r="G6" s="13" t="n">
        <f aca="false">Web!J37</f>
        <v>2000</v>
      </c>
      <c r="H6" s="15" t="str">
        <f aca="false">IF(AND(C6&gt;=F6,C6&lt;=G6),"Sí","Revisar")</f>
        <v>Sí</v>
      </c>
    </row>
    <row r="7" customFormat="false" ht="15" hidden="false" customHeight="false" outlineLevel="0" collapsed="false">
      <c r="A7" s="12" t="s">
        <v>42</v>
      </c>
      <c r="B7" s="13" t="n">
        <f aca="false">Web!D38</f>
        <v>791</v>
      </c>
      <c r="C7" s="13" t="n">
        <f aca="false">Web!F38</f>
        <v>960</v>
      </c>
      <c r="D7" s="14" t="n">
        <f aca="false">Web!G38</f>
        <v>0.176041666666667</v>
      </c>
      <c r="E7" s="13" t="n">
        <f aca="false">Web!H38</f>
        <v>1050</v>
      </c>
      <c r="F7" s="13" t="n">
        <f aca="false">Web!I38</f>
        <v>800</v>
      </c>
      <c r="G7" s="13" t="n">
        <f aca="false">Web!J38</f>
        <v>2000</v>
      </c>
      <c r="H7" s="15" t="str">
        <f aca="false">IF(AND(C7&gt;=F7,C7&lt;=G7),"Sí","Revisar")</f>
        <v>Sí</v>
      </c>
    </row>
    <row r="8" customFormat="false" ht="15" hidden="false" customHeight="false" outlineLevel="0" collapsed="false">
      <c r="A8" s="12" t="s">
        <v>43</v>
      </c>
      <c r="B8" s="13" t="n">
        <f aca="false">Web!D39</f>
        <v>1123.5</v>
      </c>
      <c r="C8" s="13" t="n">
        <f aca="false">Web!F39</f>
        <v>1440</v>
      </c>
      <c r="D8" s="14" t="n">
        <f aca="false">Web!G39</f>
        <v>0.219791666666667</v>
      </c>
      <c r="E8" s="13" t="n">
        <f aca="false">Web!H39</f>
        <v>1500</v>
      </c>
      <c r="F8" s="13" t="n">
        <f aca="false">Web!I39</f>
        <v>1200</v>
      </c>
      <c r="G8" s="13" t="n">
        <f aca="false">Web!J39</f>
        <v>2800</v>
      </c>
      <c r="H8" s="15" t="str">
        <f aca="false">IF(AND(C8&gt;=F8,C8&lt;=G8),"Sí","Revisar")</f>
        <v>Sí</v>
      </c>
    </row>
    <row r="9" customFormat="false" ht="15" hidden="false" customHeight="false" outlineLevel="0" collapsed="false">
      <c r="A9" s="12" t="s">
        <v>44</v>
      </c>
      <c r="B9" s="13" t="n">
        <f aca="false">Landing!D36</f>
        <v>1092</v>
      </c>
      <c r="C9" s="13" t="n">
        <f aca="false">Landing!F36</f>
        <v>1440</v>
      </c>
      <c r="D9" s="14" t="n">
        <f aca="false">Landing!G36</f>
        <v>0.241666666666667</v>
      </c>
      <c r="E9" s="13" t="n">
        <f aca="false">Landing!H36</f>
        <v>1460</v>
      </c>
      <c r="F9" s="13" t="n">
        <f aca="false">Landing!I36</f>
        <v>900</v>
      </c>
      <c r="G9" s="13" t="n">
        <f aca="false">Landing!J36</f>
        <v>2000</v>
      </c>
      <c r="H9" s="15" t="str">
        <f aca="false">IF(AND(C9&gt;=F9,C9&lt;=G9),"Sí","Revisar")</f>
        <v>Sí</v>
      </c>
    </row>
    <row r="10" customFormat="false" ht="15" hidden="false" customHeight="false" outlineLevel="0" collapsed="false">
      <c r="A10" s="12" t="s">
        <v>45</v>
      </c>
      <c r="B10" s="13" t="n">
        <f aca="false">Landing!D37</f>
        <v>526.75</v>
      </c>
      <c r="C10" s="13" t="n">
        <f aca="false">Landing!F37</f>
        <v>720</v>
      </c>
      <c r="D10" s="14" t="n">
        <f aca="false">Landing!G37</f>
        <v>0.268402777777778</v>
      </c>
      <c r="E10" s="13" t="n">
        <f aca="false">Landing!H37</f>
        <v>700</v>
      </c>
      <c r="F10" s="13" t="n">
        <f aca="false">Landing!I37</f>
        <v>500</v>
      </c>
      <c r="G10" s="13" t="n">
        <f aca="false">Landing!J37</f>
        <v>1200</v>
      </c>
      <c r="H10" s="15" t="str">
        <f aca="false">IF(AND(C10&gt;=F10,C10&lt;=G10),"Sí","Revisar")</f>
        <v>Sí</v>
      </c>
    </row>
    <row r="11" customFormat="false" ht="15" hidden="false" customHeight="false" outlineLevel="0" collapsed="false">
      <c r="A11" s="12" t="s">
        <v>46</v>
      </c>
      <c r="B11" s="13" t="n">
        <f aca="false">Landing!D38</f>
        <v>472.5</v>
      </c>
      <c r="C11" s="13" t="n">
        <f aca="false">Landing!F38</f>
        <v>720</v>
      </c>
      <c r="D11" s="14" t="n">
        <f aca="false">Landing!G38</f>
        <v>0.34375</v>
      </c>
      <c r="E11" s="13" t="n">
        <f aca="false">Landing!H38</f>
        <v>630</v>
      </c>
      <c r="F11" s="13" t="n">
        <f aca="false">Landing!I38</f>
        <v>500</v>
      </c>
      <c r="G11" s="13" t="n">
        <f aca="false">Landing!J38</f>
        <v>1200</v>
      </c>
      <c r="H11" s="15" t="str">
        <f aca="false">IF(AND(C11&gt;=F11,C11&lt;=G11),"Sí","Revisar")</f>
        <v>Sí</v>
      </c>
    </row>
    <row r="12" customFormat="false" ht="15" hidden="false" customHeight="false" outlineLevel="0" collapsed="false">
      <c r="A12" s="12" t="s">
        <v>47</v>
      </c>
      <c r="B12" s="13" t="n">
        <f aca="false">Landing!D39</f>
        <v>600.25</v>
      </c>
      <c r="C12" s="13" t="n">
        <f aca="false">Landing!F39</f>
        <v>960</v>
      </c>
      <c r="D12" s="14" t="n">
        <f aca="false">Landing!G39</f>
        <v>0.374739583333333</v>
      </c>
      <c r="E12" s="13" t="n">
        <f aca="false">Landing!H39</f>
        <v>800</v>
      </c>
      <c r="F12" s="13" t="n">
        <f aca="false">Landing!I39</f>
        <v>700</v>
      </c>
      <c r="G12" s="13" t="n">
        <f aca="false">Landing!J39</f>
        <v>1600</v>
      </c>
      <c r="H12" s="15" t="str">
        <f aca="false">IF(AND(C12&gt;=F12,C12&lt;=G12),"Sí","Revisar")</f>
        <v>Sí</v>
      </c>
    </row>
    <row r="13" customFormat="false" ht="15" hidden="false" customHeight="false" outlineLevel="0" collapsed="false">
      <c r="A13" s="12" t="s">
        <v>48</v>
      </c>
      <c r="B13" s="13" t="n">
        <f aca="false">Auditoria!B18</f>
        <v>656.25</v>
      </c>
      <c r="C13" s="13" t="n">
        <f aca="false">Auditoria!C18</f>
        <v>1100</v>
      </c>
      <c r="D13" s="14" t="n">
        <f aca="false">Auditoria!D18</f>
        <v>0.403409090909091</v>
      </c>
      <c r="E13" s="13" t="n">
        <f aca="false">Auditoria!E18</f>
        <v>880</v>
      </c>
      <c r="F13" s="13" t="n">
        <f aca="false">Auditoria!F18</f>
        <v>900</v>
      </c>
      <c r="G13" s="13" t="n">
        <f aca="false">Auditoria!G18</f>
        <v>3500</v>
      </c>
      <c r="H13" s="15" t="str">
        <f aca="false">IF(AND(C13&gt;=F13,C13&lt;=G13),"Sí","Revisar")</f>
        <v>Sí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  <col collapsed="false" customWidth="true" hidden="false" outlineLevel="0" max="8" min="8" style="0" width="15"/>
    <col collapsed="false" customWidth="true" hidden="false" outlineLevel="0" max="10" min="9" style="0" width="13"/>
  </cols>
  <sheetData>
    <row r="1" customFormat="false" ht="18.5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40</v>
      </c>
    </row>
    <row r="5" customFormat="false" ht="15" hidden="false" customHeight="false" outlineLevel="0" collapsed="false">
      <c r="A5" s="6" t="s">
        <v>51</v>
      </c>
      <c r="B5" s="6" t="s">
        <v>7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</row>
    <row r="6" customFormat="false" ht="15" hidden="false" customHeight="false" outlineLevel="0" collapsed="false">
      <c r="A6" s="7" t="s">
        <v>58</v>
      </c>
      <c r="B6" s="16" t="s">
        <v>59</v>
      </c>
      <c r="C6" s="17" t="n">
        <v>8</v>
      </c>
      <c r="D6" s="14" t="n">
        <f aca="false">Assumpcions!$B$11</f>
        <v>0.15</v>
      </c>
      <c r="E6" s="18" t="n">
        <f aca="false">C6*(1-D6)</f>
        <v>6.8</v>
      </c>
      <c r="F6" s="19" t="n">
        <f aca="false">E6*Assumpcions!$B$5</f>
        <v>204</v>
      </c>
      <c r="G6" s="19" t="n">
        <f aca="false">E6*Assumpcions!$B$6</f>
        <v>238</v>
      </c>
      <c r="H6" s="19" t="n">
        <f aca="false">E6*Assumpcions!$B$7</f>
        <v>272</v>
      </c>
    </row>
    <row r="7" customFormat="false" ht="15" hidden="false" customHeight="false" outlineLevel="0" collapsed="false">
      <c r="A7" s="7" t="s">
        <v>60</v>
      </c>
      <c r="B7" s="16" t="s">
        <v>61</v>
      </c>
      <c r="C7" s="17" t="n">
        <v>18</v>
      </c>
      <c r="D7" s="14" t="n">
        <f aca="false">Assumpcions!$B$12</f>
        <v>0.3</v>
      </c>
      <c r="E7" s="18" t="n">
        <f aca="false">C7*(1-D7)</f>
        <v>12.6</v>
      </c>
      <c r="F7" s="19" t="n">
        <f aca="false">E7*Assumpcions!$B$5</f>
        <v>378</v>
      </c>
      <c r="G7" s="19" t="n">
        <f aca="false">E7*Assumpcions!$B$6</f>
        <v>441</v>
      </c>
      <c r="H7" s="19" t="n">
        <f aca="false">E7*Assumpcions!$B$7</f>
        <v>504</v>
      </c>
    </row>
    <row r="8" customFormat="false" ht="15" hidden="false" customHeight="false" outlineLevel="0" collapsed="false">
      <c r="A8" s="7" t="s">
        <v>62</v>
      </c>
      <c r="B8" s="16" t="s">
        <v>63</v>
      </c>
      <c r="C8" s="17" t="n">
        <v>22</v>
      </c>
      <c r="D8" s="14" t="n">
        <f aca="false">Assumpcions!$B$13</f>
        <v>0.45</v>
      </c>
      <c r="E8" s="18" t="n">
        <f aca="false">C8*(1-D8)</f>
        <v>12.1</v>
      </c>
      <c r="F8" s="19" t="n">
        <f aca="false">E8*Assumpcions!$B$5</f>
        <v>363</v>
      </c>
      <c r="G8" s="19" t="n">
        <f aca="false">E8*Assumpcions!$B$6</f>
        <v>423.5</v>
      </c>
      <c r="H8" s="19" t="n">
        <f aca="false">E8*Assumpcions!$B$7</f>
        <v>484</v>
      </c>
    </row>
    <row r="9" customFormat="false" ht="15" hidden="false" customHeight="false" outlineLevel="0" collapsed="false">
      <c r="A9" s="7" t="s">
        <v>64</v>
      </c>
      <c r="B9" s="16" t="s">
        <v>65</v>
      </c>
      <c r="C9" s="17" t="n">
        <v>34</v>
      </c>
      <c r="D9" s="14" t="n">
        <f aca="false">Assumpcions!$B$14</f>
        <v>0.5</v>
      </c>
      <c r="E9" s="18" t="n">
        <f aca="false">C9*(1-D9)</f>
        <v>17</v>
      </c>
      <c r="F9" s="19" t="n">
        <f aca="false">E9*Assumpcions!$B$5</f>
        <v>510</v>
      </c>
      <c r="G9" s="19" t="n">
        <f aca="false">E9*Assumpcions!$B$6</f>
        <v>595</v>
      </c>
      <c r="H9" s="19" t="n">
        <f aca="false">E9*Assumpcions!$B$7</f>
        <v>680</v>
      </c>
    </row>
    <row r="10" customFormat="false" ht="15" hidden="false" customHeight="false" outlineLevel="0" collapsed="false">
      <c r="A10" s="7" t="s">
        <v>66</v>
      </c>
      <c r="B10" s="16" t="s">
        <v>67</v>
      </c>
      <c r="C10" s="17" t="n">
        <v>8</v>
      </c>
      <c r="D10" s="14" t="n">
        <f aca="false">Assumpcions!$B$16</f>
        <v>0.25</v>
      </c>
      <c r="E10" s="18" t="n">
        <f aca="false">C10*(1-D10)</f>
        <v>6</v>
      </c>
      <c r="F10" s="19" t="n">
        <f aca="false">E10*Assumpcions!$B$5</f>
        <v>180</v>
      </c>
      <c r="G10" s="19" t="n">
        <f aca="false">E10*Assumpcions!$B$6</f>
        <v>210</v>
      </c>
      <c r="H10" s="19" t="n">
        <f aca="false">E10*Assumpcions!$B$7</f>
        <v>240</v>
      </c>
    </row>
    <row r="11" customFormat="false" ht="15" hidden="false" customHeight="false" outlineLevel="0" collapsed="false">
      <c r="A11" s="20" t="s">
        <v>68</v>
      </c>
      <c r="B11" s="21"/>
      <c r="C11" s="22" t="n">
        <f aca="false">SUM(C6:C10)</f>
        <v>90</v>
      </c>
      <c r="D11" s="21"/>
      <c r="E11" s="22" t="n">
        <f aca="false">SUM(E6:E10)</f>
        <v>54.5</v>
      </c>
      <c r="F11" s="23" t="n">
        <f aca="false">SUM(F6:F10)</f>
        <v>1635</v>
      </c>
      <c r="G11" s="23" t="n">
        <f aca="false">SUM(G6:G10)</f>
        <v>1907.5</v>
      </c>
      <c r="H11" s="23" t="n">
        <f aca="false">SUM(H6:H10)</f>
        <v>2180</v>
      </c>
    </row>
    <row r="13" customFormat="false" ht="15" hidden="false" customHeight="false" outlineLevel="0" collapsed="false">
      <c r="A13" s="3" t="s">
        <v>41</v>
      </c>
    </row>
    <row r="14" customFormat="false" ht="15" hidden="false" customHeight="false" outlineLevel="0" collapsed="false">
      <c r="A14" s="6" t="s">
        <v>51</v>
      </c>
      <c r="B14" s="6" t="s">
        <v>7</v>
      </c>
      <c r="C14" s="6" t="s">
        <v>52</v>
      </c>
      <c r="D14" s="6" t="s">
        <v>53</v>
      </c>
      <c r="E14" s="6" t="s">
        <v>54</v>
      </c>
      <c r="F14" s="6" t="s">
        <v>55</v>
      </c>
      <c r="G14" s="6" t="s">
        <v>56</v>
      </c>
      <c r="H14" s="6" t="s">
        <v>57</v>
      </c>
    </row>
    <row r="15" customFormat="false" ht="15" hidden="false" customHeight="false" outlineLevel="0" collapsed="false">
      <c r="A15" s="7" t="s">
        <v>58</v>
      </c>
      <c r="B15" s="16" t="s">
        <v>59</v>
      </c>
      <c r="C15" s="17" t="n">
        <v>8</v>
      </c>
      <c r="D15" s="14" t="n">
        <f aca="false">Assumpcions!$B$11</f>
        <v>0.15</v>
      </c>
      <c r="E15" s="18" t="n">
        <f aca="false">C15*(1-D15)</f>
        <v>6.8</v>
      </c>
      <c r="F15" s="19" t="n">
        <f aca="false">E15*Assumpcions!$B$5</f>
        <v>204</v>
      </c>
      <c r="G15" s="19" t="n">
        <f aca="false">E15*Assumpcions!$B$6</f>
        <v>238</v>
      </c>
      <c r="H15" s="19" t="n">
        <f aca="false">E15*Assumpcions!$B$7</f>
        <v>272</v>
      </c>
    </row>
    <row r="16" customFormat="false" ht="15" hidden="false" customHeight="false" outlineLevel="0" collapsed="false">
      <c r="A16" s="7" t="s">
        <v>60</v>
      </c>
      <c r="B16" s="16" t="s">
        <v>61</v>
      </c>
      <c r="C16" s="17" t="n">
        <v>20</v>
      </c>
      <c r="D16" s="14" t="n">
        <f aca="false">Assumpcions!$B$12</f>
        <v>0.3</v>
      </c>
      <c r="E16" s="18" t="n">
        <f aca="false">C16*(1-D16)</f>
        <v>14</v>
      </c>
      <c r="F16" s="19" t="n">
        <f aca="false">E16*Assumpcions!$B$5</f>
        <v>420</v>
      </c>
      <c r="G16" s="19" t="n">
        <f aca="false">E16*Assumpcions!$B$6</f>
        <v>490</v>
      </c>
      <c r="H16" s="19" t="n">
        <f aca="false">E16*Assumpcions!$B$7</f>
        <v>560</v>
      </c>
    </row>
    <row r="17" customFormat="false" ht="15" hidden="false" customHeight="false" outlineLevel="0" collapsed="false">
      <c r="A17" s="7" t="s">
        <v>69</v>
      </c>
      <c r="B17" s="16" t="s">
        <v>70</v>
      </c>
      <c r="C17" s="17" t="n">
        <v>4</v>
      </c>
      <c r="D17" s="14" t="n">
        <f aca="false">Assumpcions!$B$17</f>
        <v>0.2</v>
      </c>
      <c r="E17" s="18" t="n">
        <f aca="false">C17*(1-D17)</f>
        <v>3.2</v>
      </c>
      <c r="F17" s="19" t="n">
        <f aca="false">E17*Assumpcions!$B$5</f>
        <v>96</v>
      </c>
      <c r="G17" s="19" t="n">
        <f aca="false">E17*Assumpcions!$B$6</f>
        <v>112</v>
      </c>
      <c r="H17" s="19" t="n">
        <f aca="false">E17*Assumpcions!$B$7</f>
        <v>128</v>
      </c>
    </row>
    <row r="18" customFormat="false" ht="15" hidden="false" customHeight="false" outlineLevel="0" collapsed="false">
      <c r="A18" s="20" t="s">
        <v>68</v>
      </c>
      <c r="B18" s="21"/>
      <c r="C18" s="22" t="n">
        <f aca="false">SUM(C15:C17)</f>
        <v>32</v>
      </c>
      <c r="D18" s="21"/>
      <c r="E18" s="22" t="n">
        <f aca="false">SUM(E15:E17)</f>
        <v>24</v>
      </c>
      <c r="F18" s="23" t="n">
        <f aca="false">SUM(F15:F17)</f>
        <v>720</v>
      </c>
      <c r="G18" s="23" t="n">
        <f aca="false">SUM(G15:G17)</f>
        <v>840</v>
      </c>
      <c r="H18" s="23" t="n">
        <f aca="false">SUM(H15:H17)</f>
        <v>960</v>
      </c>
    </row>
    <row r="20" customFormat="false" ht="15" hidden="false" customHeight="false" outlineLevel="0" collapsed="false">
      <c r="A20" s="3" t="s">
        <v>42</v>
      </c>
    </row>
    <row r="21" customFormat="false" ht="15" hidden="false" customHeight="false" outlineLevel="0" collapsed="false">
      <c r="A21" s="6" t="s">
        <v>51</v>
      </c>
      <c r="B21" s="6" t="s">
        <v>7</v>
      </c>
      <c r="C21" s="6" t="s">
        <v>52</v>
      </c>
      <c r="D21" s="6" t="s">
        <v>53</v>
      </c>
      <c r="E21" s="6" t="s">
        <v>54</v>
      </c>
      <c r="F21" s="6" t="s">
        <v>55</v>
      </c>
      <c r="G21" s="6" t="s">
        <v>56</v>
      </c>
      <c r="H21" s="6" t="s">
        <v>57</v>
      </c>
    </row>
    <row r="22" customFormat="false" ht="15" hidden="false" customHeight="false" outlineLevel="0" collapsed="false">
      <c r="A22" s="7" t="s">
        <v>58</v>
      </c>
      <c r="B22" s="16" t="s">
        <v>59</v>
      </c>
      <c r="C22" s="17" t="n">
        <v>6</v>
      </c>
      <c r="D22" s="14" t="n">
        <f aca="false">Assumpcions!$B$11</f>
        <v>0.15</v>
      </c>
      <c r="E22" s="18" t="n">
        <f aca="false">C22*(1-D22)</f>
        <v>5.1</v>
      </c>
      <c r="F22" s="19" t="n">
        <f aca="false">E22*Assumpcions!$B$5</f>
        <v>153</v>
      </c>
      <c r="G22" s="19" t="n">
        <f aca="false">E22*Assumpcions!$B$6</f>
        <v>178.5</v>
      </c>
      <c r="H22" s="19" t="n">
        <f aca="false">E22*Assumpcions!$B$7</f>
        <v>204</v>
      </c>
    </row>
    <row r="23" customFormat="false" ht="15" hidden="false" customHeight="false" outlineLevel="0" collapsed="false">
      <c r="A23" s="7" t="s">
        <v>62</v>
      </c>
      <c r="B23" s="16" t="s">
        <v>63</v>
      </c>
      <c r="C23" s="17" t="n">
        <v>26</v>
      </c>
      <c r="D23" s="14" t="n">
        <f aca="false">Assumpcions!$B$13</f>
        <v>0.45</v>
      </c>
      <c r="E23" s="18" t="n">
        <f aca="false">C23*(1-D23)</f>
        <v>14.3</v>
      </c>
      <c r="F23" s="19" t="n">
        <f aca="false">E23*Assumpcions!$B$5</f>
        <v>429</v>
      </c>
      <c r="G23" s="19" t="n">
        <f aca="false">E23*Assumpcions!$B$6</f>
        <v>500.5</v>
      </c>
      <c r="H23" s="19" t="n">
        <f aca="false">E23*Assumpcions!$B$7</f>
        <v>572</v>
      </c>
    </row>
    <row r="24" customFormat="false" ht="15" hidden="false" customHeight="false" outlineLevel="0" collapsed="false">
      <c r="A24" s="7" t="s">
        <v>69</v>
      </c>
      <c r="B24" s="16" t="s">
        <v>70</v>
      </c>
      <c r="C24" s="17" t="n">
        <v>4</v>
      </c>
      <c r="D24" s="14" t="n">
        <f aca="false">Assumpcions!$B$17</f>
        <v>0.2</v>
      </c>
      <c r="E24" s="18" t="n">
        <f aca="false">C24*(1-D24)</f>
        <v>3.2</v>
      </c>
      <c r="F24" s="19" t="n">
        <f aca="false">E24*Assumpcions!$B$5</f>
        <v>96</v>
      </c>
      <c r="G24" s="19" t="n">
        <f aca="false">E24*Assumpcions!$B$6</f>
        <v>112</v>
      </c>
      <c r="H24" s="19" t="n">
        <f aca="false">E24*Assumpcions!$B$7</f>
        <v>128</v>
      </c>
    </row>
    <row r="25" customFormat="false" ht="15" hidden="false" customHeight="false" outlineLevel="0" collapsed="false">
      <c r="A25" s="20" t="s">
        <v>68</v>
      </c>
      <c r="B25" s="21"/>
      <c r="C25" s="22" t="n">
        <f aca="false">SUM(C22:C24)</f>
        <v>36</v>
      </c>
      <c r="D25" s="21"/>
      <c r="E25" s="22" t="n">
        <f aca="false">SUM(E22:E24)</f>
        <v>22.6</v>
      </c>
      <c r="F25" s="23" t="n">
        <f aca="false">SUM(F22:F24)</f>
        <v>678</v>
      </c>
      <c r="G25" s="23" t="n">
        <f aca="false">SUM(G22:G24)</f>
        <v>791</v>
      </c>
      <c r="H25" s="23" t="n">
        <f aca="false">SUM(H22:H24)</f>
        <v>904</v>
      </c>
    </row>
    <row r="27" customFormat="false" ht="15" hidden="false" customHeight="false" outlineLevel="0" collapsed="false">
      <c r="A27" s="3" t="s">
        <v>43</v>
      </c>
    </row>
    <row r="28" customFormat="false" ht="15" hidden="false" customHeight="false" outlineLevel="0" collapsed="false">
      <c r="A28" s="6" t="s">
        <v>51</v>
      </c>
      <c r="B28" s="6" t="s">
        <v>7</v>
      </c>
      <c r="C28" s="6" t="s">
        <v>52</v>
      </c>
      <c r="D28" s="6" t="s">
        <v>53</v>
      </c>
      <c r="E28" s="6" t="s">
        <v>54</v>
      </c>
      <c r="F28" s="6" t="s">
        <v>55</v>
      </c>
      <c r="G28" s="6" t="s">
        <v>56</v>
      </c>
      <c r="H28" s="6" t="s">
        <v>57</v>
      </c>
    </row>
    <row r="29" customFormat="false" ht="15" hidden="false" customHeight="false" outlineLevel="0" collapsed="false">
      <c r="A29" s="7" t="s">
        <v>58</v>
      </c>
      <c r="B29" s="16" t="s">
        <v>59</v>
      </c>
      <c r="C29" s="17" t="n">
        <v>6</v>
      </c>
      <c r="D29" s="14" t="n">
        <f aca="false">Assumpcions!$B$11</f>
        <v>0.15</v>
      </c>
      <c r="E29" s="18" t="n">
        <f aca="false">C29*(1-D29)</f>
        <v>5.1</v>
      </c>
      <c r="F29" s="19" t="n">
        <f aca="false">E29*Assumpcions!$B$5</f>
        <v>153</v>
      </c>
      <c r="G29" s="19" t="n">
        <f aca="false">E29*Assumpcions!$B$6</f>
        <v>178.5</v>
      </c>
      <c r="H29" s="19" t="n">
        <f aca="false">E29*Assumpcions!$B$7</f>
        <v>204</v>
      </c>
    </row>
    <row r="30" customFormat="false" ht="15" hidden="false" customHeight="false" outlineLevel="0" collapsed="false">
      <c r="A30" s="7" t="s">
        <v>64</v>
      </c>
      <c r="B30" s="16" t="s">
        <v>65</v>
      </c>
      <c r="C30" s="17" t="n">
        <v>42</v>
      </c>
      <c r="D30" s="14" t="n">
        <f aca="false">Assumpcions!$B$14</f>
        <v>0.5</v>
      </c>
      <c r="E30" s="18" t="n">
        <f aca="false">C30*(1-D30)</f>
        <v>21</v>
      </c>
      <c r="F30" s="19" t="n">
        <f aca="false">E30*Assumpcions!$B$5</f>
        <v>630</v>
      </c>
      <c r="G30" s="19" t="n">
        <f aca="false">E30*Assumpcions!$B$6</f>
        <v>735</v>
      </c>
      <c r="H30" s="19" t="n">
        <f aca="false">E30*Assumpcions!$B$7</f>
        <v>840</v>
      </c>
    </row>
    <row r="31" customFormat="false" ht="15" hidden="false" customHeight="false" outlineLevel="0" collapsed="false">
      <c r="A31" s="7" t="s">
        <v>66</v>
      </c>
      <c r="B31" s="16" t="s">
        <v>67</v>
      </c>
      <c r="C31" s="17" t="n">
        <v>8</v>
      </c>
      <c r="D31" s="14" t="n">
        <f aca="false">Assumpcions!$B$16</f>
        <v>0.25</v>
      </c>
      <c r="E31" s="18" t="n">
        <f aca="false">C31*(1-D31)</f>
        <v>6</v>
      </c>
      <c r="F31" s="19" t="n">
        <f aca="false">E31*Assumpcions!$B$5</f>
        <v>180</v>
      </c>
      <c r="G31" s="19" t="n">
        <f aca="false">E31*Assumpcions!$B$6</f>
        <v>210</v>
      </c>
      <c r="H31" s="19" t="n">
        <f aca="false">E31*Assumpcions!$B$7</f>
        <v>240</v>
      </c>
    </row>
    <row r="32" customFormat="false" ht="15" hidden="false" customHeight="false" outlineLevel="0" collapsed="false">
      <c r="A32" s="20" t="s">
        <v>68</v>
      </c>
      <c r="B32" s="21"/>
      <c r="C32" s="22" t="n">
        <f aca="false">SUM(C29:C31)</f>
        <v>56</v>
      </c>
      <c r="D32" s="21"/>
      <c r="E32" s="22" t="n">
        <f aca="false">SUM(E29:E31)</f>
        <v>32.1</v>
      </c>
      <c r="F32" s="23" t="n">
        <f aca="false">SUM(F29:F31)</f>
        <v>963</v>
      </c>
      <c r="G32" s="23" t="n">
        <f aca="false">SUM(G29:G31)</f>
        <v>1123.5</v>
      </c>
      <c r="H32" s="23" t="n">
        <f aca="false">SUM(H29:H31)</f>
        <v>1284</v>
      </c>
    </row>
    <row r="34" customFormat="false" ht="15" hidden="false" customHeight="false" outlineLevel="0" collapsed="false">
      <c r="A34" s="24" t="s">
        <v>71</v>
      </c>
    </row>
    <row r="35" customFormat="false" ht="22.35" hidden="false" customHeight="false" outlineLevel="0" collapsed="false">
      <c r="A35" s="6" t="s">
        <v>72</v>
      </c>
      <c r="B35" s="6" t="s">
        <v>73</v>
      </c>
      <c r="C35" s="6" t="s">
        <v>74</v>
      </c>
      <c r="D35" s="6" t="s">
        <v>33</v>
      </c>
      <c r="E35" s="6" t="s">
        <v>75</v>
      </c>
      <c r="F35" s="6" t="s">
        <v>34</v>
      </c>
      <c r="G35" s="6" t="s">
        <v>35</v>
      </c>
      <c r="H35" s="6" t="s">
        <v>76</v>
      </c>
      <c r="I35" s="6" t="s">
        <v>37</v>
      </c>
      <c r="J35" s="6" t="s">
        <v>38</v>
      </c>
    </row>
    <row r="36" customFormat="false" ht="15" hidden="false" customHeight="false" outlineLevel="0" collapsed="false">
      <c r="A36" s="12" t="s">
        <v>77</v>
      </c>
      <c r="B36" s="18" t="n">
        <f aca="false">E11</f>
        <v>54.5</v>
      </c>
      <c r="C36" s="19" t="n">
        <f aca="false">F11</f>
        <v>1635</v>
      </c>
      <c r="D36" s="19" t="n">
        <f aca="false">G11</f>
        <v>1907.5</v>
      </c>
      <c r="E36" s="19" t="n">
        <f aca="false">H11</f>
        <v>2180</v>
      </c>
      <c r="F36" s="25" t="n">
        <v>2400</v>
      </c>
      <c r="G36" s="26" t="n">
        <f aca="false">(F36-D36)/F36</f>
        <v>0.205208333333333</v>
      </c>
      <c r="H36" s="19" t="n">
        <f aca="false">MROUND(D36/(1-Assumpcions!$B$20),Assumpcions!$B$21)</f>
        <v>2540</v>
      </c>
      <c r="I36" s="27" t="n">
        <v>2000</v>
      </c>
      <c r="J36" s="27" t="n">
        <v>4000</v>
      </c>
    </row>
    <row r="37" customFormat="false" ht="15" hidden="false" customHeight="false" outlineLevel="0" collapsed="false">
      <c r="A37" s="12" t="s">
        <v>78</v>
      </c>
      <c r="B37" s="18" t="n">
        <f aca="false">E18</f>
        <v>24</v>
      </c>
      <c r="C37" s="19" t="n">
        <f aca="false">F18</f>
        <v>720</v>
      </c>
      <c r="D37" s="19" t="n">
        <f aca="false">G18</f>
        <v>840</v>
      </c>
      <c r="E37" s="19" t="n">
        <f aca="false">H18</f>
        <v>960</v>
      </c>
      <c r="F37" s="25" t="n">
        <v>960</v>
      </c>
      <c r="G37" s="26" t="n">
        <f aca="false">(F37-D37)/F37</f>
        <v>0.125</v>
      </c>
      <c r="H37" s="19" t="n">
        <f aca="false">MROUND(D37/(1-Assumpcions!$B$20),Assumpcions!$B$21)</f>
        <v>1120</v>
      </c>
      <c r="I37" s="27" t="n">
        <v>800</v>
      </c>
      <c r="J37" s="27" t="n">
        <v>2000</v>
      </c>
    </row>
    <row r="38" customFormat="false" ht="15" hidden="false" customHeight="false" outlineLevel="0" collapsed="false">
      <c r="A38" s="12" t="s">
        <v>79</v>
      </c>
      <c r="B38" s="18" t="n">
        <f aca="false">E25</f>
        <v>22.6</v>
      </c>
      <c r="C38" s="19" t="n">
        <f aca="false">F25</f>
        <v>678</v>
      </c>
      <c r="D38" s="19" t="n">
        <f aca="false">G25</f>
        <v>791</v>
      </c>
      <c r="E38" s="19" t="n">
        <f aca="false">H25</f>
        <v>904</v>
      </c>
      <c r="F38" s="25" t="n">
        <v>960</v>
      </c>
      <c r="G38" s="26" t="n">
        <f aca="false">(F38-D38)/F38</f>
        <v>0.176041666666667</v>
      </c>
      <c r="H38" s="19" t="n">
        <f aca="false">MROUND(D38/(1-Assumpcions!$B$20),Assumpcions!$B$21)</f>
        <v>1050</v>
      </c>
      <c r="I38" s="27" t="n">
        <v>800</v>
      </c>
      <c r="J38" s="27" t="n">
        <v>2000</v>
      </c>
    </row>
    <row r="39" customFormat="false" ht="15" hidden="false" customHeight="false" outlineLevel="0" collapsed="false">
      <c r="A39" s="12" t="s">
        <v>12</v>
      </c>
      <c r="B39" s="18" t="n">
        <f aca="false">E32</f>
        <v>32.1</v>
      </c>
      <c r="C39" s="19" t="n">
        <f aca="false">F32</f>
        <v>963</v>
      </c>
      <c r="D39" s="19" t="n">
        <f aca="false">G32</f>
        <v>1123.5</v>
      </c>
      <c r="E39" s="19" t="n">
        <f aca="false">H32</f>
        <v>1284</v>
      </c>
      <c r="F39" s="25" t="n">
        <v>1440</v>
      </c>
      <c r="G39" s="26" t="n">
        <f aca="false">(F39-D39)/F39</f>
        <v>0.219791666666667</v>
      </c>
      <c r="H39" s="19" t="n">
        <f aca="false">MROUND(D39/(1-Assumpcions!$B$20),Assumpcions!$B$21)</f>
        <v>1500</v>
      </c>
      <c r="I39" s="27" t="n">
        <v>1200</v>
      </c>
      <c r="J39" s="27" t="n">
        <v>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  <col collapsed="false" customWidth="true" hidden="false" outlineLevel="0" max="8" min="8" style="0" width="15"/>
    <col collapsed="false" customWidth="true" hidden="false" outlineLevel="0" max="10" min="9" style="0" width="13"/>
  </cols>
  <sheetData>
    <row r="1" customFormat="false" ht="18.5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44</v>
      </c>
    </row>
    <row r="5" customFormat="false" ht="15" hidden="false" customHeight="false" outlineLevel="0" collapsed="false">
      <c r="A5" s="6" t="s">
        <v>51</v>
      </c>
      <c r="B5" s="6" t="s">
        <v>7</v>
      </c>
      <c r="C5" s="6" t="s">
        <v>52</v>
      </c>
      <c r="D5" s="6" t="s">
        <v>53</v>
      </c>
      <c r="E5" s="6" t="s">
        <v>54</v>
      </c>
      <c r="F5" s="6" t="s">
        <v>55</v>
      </c>
      <c r="G5" s="6" t="s">
        <v>56</v>
      </c>
      <c r="H5" s="6" t="s">
        <v>57</v>
      </c>
    </row>
    <row r="6" customFormat="false" ht="15" hidden="false" customHeight="false" outlineLevel="0" collapsed="false">
      <c r="A6" s="7" t="s">
        <v>58</v>
      </c>
      <c r="B6" s="16" t="s">
        <v>59</v>
      </c>
      <c r="C6" s="17" t="n">
        <v>6</v>
      </c>
      <c r="D6" s="14" t="n">
        <f aca="false">Assumpcions!$B$11</f>
        <v>0.15</v>
      </c>
      <c r="E6" s="18" t="n">
        <f aca="false">C6*(1-D6)</f>
        <v>5.1</v>
      </c>
      <c r="F6" s="19" t="n">
        <f aca="false">E6*Assumpcions!$B$5</f>
        <v>153</v>
      </c>
      <c r="G6" s="19" t="n">
        <f aca="false">E6*Assumpcions!$B$6</f>
        <v>178.5</v>
      </c>
      <c r="H6" s="19" t="n">
        <f aca="false">E6*Assumpcions!$B$7</f>
        <v>204</v>
      </c>
    </row>
    <row r="7" customFormat="false" ht="15" hidden="false" customHeight="false" outlineLevel="0" collapsed="false">
      <c r="A7" s="7" t="s">
        <v>60</v>
      </c>
      <c r="B7" s="16" t="s">
        <v>61</v>
      </c>
      <c r="C7" s="17" t="n">
        <v>10</v>
      </c>
      <c r="D7" s="14" t="n">
        <f aca="false">Assumpcions!$B$12</f>
        <v>0.3</v>
      </c>
      <c r="E7" s="18" t="n">
        <f aca="false">C7*(1-D7)</f>
        <v>7</v>
      </c>
      <c r="F7" s="19" t="n">
        <f aca="false">E7*Assumpcions!$B$5</f>
        <v>210</v>
      </c>
      <c r="G7" s="19" t="n">
        <f aca="false">E7*Assumpcions!$B$6</f>
        <v>245</v>
      </c>
      <c r="H7" s="19" t="n">
        <f aca="false">E7*Assumpcions!$B$7</f>
        <v>280</v>
      </c>
    </row>
    <row r="8" customFormat="false" ht="15" hidden="false" customHeight="false" outlineLevel="0" collapsed="false">
      <c r="A8" s="7" t="s">
        <v>62</v>
      </c>
      <c r="B8" s="16" t="s">
        <v>63</v>
      </c>
      <c r="C8" s="17" t="n">
        <v>12</v>
      </c>
      <c r="D8" s="14" t="n">
        <f aca="false">Assumpcions!$B$13</f>
        <v>0.45</v>
      </c>
      <c r="E8" s="18" t="n">
        <f aca="false">C8*(1-D8)</f>
        <v>6.6</v>
      </c>
      <c r="F8" s="19" t="n">
        <f aca="false">E8*Assumpcions!$B$5</f>
        <v>198</v>
      </c>
      <c r="G8" s="19" t="n">
        <f aca="false">E8*Assumpcions!$B$6</f>
        <v>231</v>
      </c>
      <c r="H8" s="19" t="n">
        <f aca="false">E8*Assumpcions!$B$7</f>
        <v>264</v>
      </c>
    </row>
    <row r="9" customFormat="false" ht="15" hidden="false" customHeight="false" outlineLevel="0" collapsed="false">
      <c r="A9" s="7" t="s">
        <v>64</v>
      </c>
      <c r="B9" s="16" t="s">
        <v>65</v>
      </c>
      <c r="C9" s="17" t="n">
        <v>16</v>
      </c>
      <c r="D9" s="14" t="n">
        <f aca="false">Assumpcions!$B$14</f>
        <v>0.5</v>
      </c>
      <c r="E9" s="18" t="n">
        <f aca="false">C9*(1-D9)</f>
        <v>8</v>
      </c>
      <c r="F9" s="19" t="n">
        <f aca="false">E9*Assumpcions!$B$5</f>
        <v>240</v>
      </c>
      <c r="G9" s="19" t="n">
        <f aca="false">E9*Assumpcions!$B$6</f>
        <v>280</v>
      </c>
      <c r="H9" s="19" t="n">
        <f aca="false">E9*Assumpcions!$B$7</f>
        <v>320</v>
      </c>
    </row>
    <row r="10" customFormat="false" ht="15" hidden="false" customHeight="false" outlineLevel="0" collapsed="false">
      <c r="A10" s="7" t="s">
        <v>66</v>
      </c>
      <c r="B10" s="16" t="s">
        <v>67</v>
      </c>
      <c r="C10" s="17" t="n">
        <v>6</v>
      </c>
      <c r="D10" s="14" t="n">
        <f aca="false">Assumpcions!$B$16</f>
        <v>0.25</v>
      </c>
      <c r="E10" s="18" t="n">
        <f aca="false">C10*(1-D10)</f>
        <v>4.5</v>
      </c>
      <c r="F10" s="19" t="n">
        <f aca="false">E10*Assumpcions!$B$5</f>
        <v>135</v>
      </c>
      <c r="G10" s="19" t="n">
        <f aca="false">E10*Assumpcions!$B$6</f>
        <v>157.5</v>
      </c>
      <c r="H10" s="19" t="n">
        <f aca="false">E10*Assumpcions!$B$7</f>
        <v>180</v>
      </c>
    </row>
    <row r="11" customFormat="false" ht="15" hidden="false" customHeight="false" outlineLevel="0" collapsed="false">
      <c r="A11" s="20" t="s">
        <v>68</v>
      </c>
      <c r="B11" s="21"/>
      <c r="C11" s="22" t="n">
        <f aca="false">SUM(C6:C10)</f>
        <v>50</v>
      </c>
      <c r="D11" s="21"/>
      <c r="E11" s="22" t="n">
        <f aca="false">SUM(E6:E10)</f>
        <v>31.2</v>
      </c>
      <c r="F11" s="23" t="n">
        <f aca="false">SUM(F6:F10)</f>
        <v>936</v>
      </c>
      <c r="G11" s="23" t="n">
        <f aca="false">SUM(G6:G10)</f>
        <v>1092</v>
      </c>
      <c r="H11" s="23" t="n">
        <f aca="false">SUM(H6:H10)</f>
        <v>1248</v>
      </c>
    </row>
    <row r="13" customFormat="false" ht="15" hidden="false" customHeight="false" outlineLevel="0" collapsed="false">
      <c r="A13" s="3" t="s">
        <v>45</v>
      </c>
    </row>
    <row r="14" customFormat="false" ht="15" hidden="false" customHeight="false" outlineLevel="0" collapsed="false">
      <c r="A14" s="6" t="s">
        <v>51</v>
      </c>
      <c r="B14" s="6" t="s">
        <v>7</v>
      </c>
      <c r="C14" s="6" t="s">
        <v>52</v>
      </c>
      <c r="D14" s="6" t="s">
        <v>53</v>
      </c>
      <c r="E14" s="6" t="s">
        <v>54</v>
      </c>
      <c r="F14" s="6" t="s">
        <v>55</v>
      </c>
      <c r="G14" s="6" t="s">
        <v>56</v>
      </c>
      <c r="H14" s="6" t="s">
        <v>57</v>
      </c>
    </row>
    <row r="15" customFormat="false" ht="15" hidden="false" customHeight="false" outlineLevel="0" collapsed="false">
      <c r="A15" s="7" t="s">
        <v>58</v>
      </c>
      <c r="B15" s="16" t="s">
        <v>59</v>
      </c>
      <c r="C15" s="17" t="n">
        <v>5</v>
      </c>
      <c r="D15" s="14" t="n">
        <f aca="false">Assumpcions!$B$11</f>
        <v>0.15</v>
      </c>
      <c r="E15" s="18" t="n">
        <f aca="false">C15*(1-D15)</f>
        <v>4.25</v>
      </c>
      <c r="F15" s="19" t="n">
        <f aca="false">E15*Assumpcions!$B$5</f>
        <v>127.5</v>
      </c>
      <c r="G15" s="19" t="n">
        <f aca="false">E15*Assumpcions!$B$6</f>
        <v>148.75</v>
      </c>
      <c r="H15" s="19" t="n">
        <f aca="false">E15*Assumpcions!$B$7</f>
        <v>170</v>
      </c>
    </row>
    <row r="16" customFormat="false" ht="15" hidden="false" customHeight="false" outlineLevel="0" collapsed="false">
      <c r="A16" s="7" t="s">
        <v>60</v>
      </c>
      <c r="B16" s="16" t="s">
        <v>61</v>
      </c>
      <c r="C16" s="17" t="n">
        <v>12</v>
      </c>
      <c r="D16" s="14" t="n">
        <f aca="false">Assumpcions!$B$12</f>
        <v>0.3</v>
      </c>
      <c r="E16" s="18" t="n">
        <f aca="false">C16*(1-D16)</f>
        <v>8.4</v>
      </c>
      <c r="F16" s="19" t="n">
        <f aca="false">E16*Assumpcions!$B$5</f>
        <v>252</v>
      </c>
      <c r="G16" s="19" t="n">
        <f aca="false">E16*Assumpcions!$B$6</f>
        <v>294</v>
      </c>
      <c r="H16" s="19" t="n">
        <f aca="false">E16*Assumpcions!$B$7</f>
        <v>336</v>
      </c>
    </row>
    <row r="17" customFormat="false" ht="15" hidden="false" customHeight="false" outlineLevel="0" collapsed="false">
      <c r="A17" s="7" t="s">
        <v>69</v>
      </c>
      <c r="B17" s="16" t="s">
        <v>70</v>
      </c>
      <c r="C17" s="17" t="n">
        <v>3</v>
      </c>
      <c r="D17" s="14" t="n">
        <f aca="false">Assumpcions!$B$17</f>
        <v>0.2</v>
      </c>
      <c r="E17" s="18" t="n">
        <f aca="false">C17*(1-D17)</f>
        <v>2.4</v>
      </c>
      <c r="F17" s="19" t="n">
        <f aca="false">E17*Assumpcions!$B$5</f>
        <v>72</v>
      </c>
      <c r="G17" s="19" t="n">
        <f aca="false">E17*Assumpcions!$B$6</f>
        <v>84</v>
      </c>
      <c r="H17" s="19" t="n">
        <f aca="false">E17*Assumpcions!$B$7</f>
        <v>96</v>
      </c>
    </row>
    <row r="18" customFormat="false" ht="15" hidden="false" customHeight="false" outlineLevel="0" collapsed="false">
      <c r="A18" s="20" t="s">
        <v>68</v>
      </c>
      <c r="B18" s="21"/>
      <c r="C18" s="22" t="n">
        <f aca="false">SUM(C15:C17)</f>
        <v>20</v>
      </c>
      <c r="D18" s="21"/>
      <c r="E18" s="22" t="n">
        <f aca="false">SUM(E15:E17)</f>
        <v>15.05</v>
      </c>
      <c r="F18" s="23" t="n">
        <f aca="false">SUM(F15:F17)</f>
        <v>451.5</v>
      </c>
      <c r="G18" s="23" t="n">
        <f aca="false">SUM(G15:G17)</f>
        <v>526.75</v>
      </c>
      <c r="H18" s="23" t="n">
        <f aca="false">SUM(H15:H17)</f>
        <v>602</v>
      </c>
    </row>
    <row r="20" customFormat="false" ht="15" hidden="false" customHeight="false" outlineLevel="0" collapsed="false">
      <c r="A20" s="3" t="s">
        <v>46</v>
      </c>
    </row>
    <row r="21" customFormat="false" ht="15" hidden="false" customHeight="false" outlineLevel="0" collapsed="false">
      <c r="A21" s="6" t="s">
        <v>51</v>
      </c>
      <c r="B21" s="6" t="s">
        <v>7</v>
      </c>
      <c r="C21" s="6" t="s">
        <v>52</v>
      </c>
      <c r="D21" s="6" t="s">
        <v>53</v>
      </c>
      <c r="E21" s="6" t="s">
        <v>54</v>
      </c>
      <c r="F21" s="6" t="s">
        <v>55</v>
      </c>
      <c r="G21" s="6" t="s">
        <v>56</v>
      </c>
      <c r="H21" s="6" t="s">
        <v>57</v>
      </c>
    </row>
    <row r="22" customFormat="false" ht="15" hidden="false" customHeight="false" outlineLevel="0" collapsed="false">
      <c r="A22" s="7" t="s">
        <v>58</v>
      </c>
      <c r="B22" s="16" t="s">
        <v>59</v>
      </c>
      <c r="C22" s="17" t="n">
        <v>4</v>
      </c>
      <c r="D22" s="14" t="n">
        <f aca="false">Assumpcions!$B$11</f>
        <v>0.15</v>
      </c>
      <c r="E22" s="18" t="n">
        <f aca="false">C22*(1-D22)</f>
        <v>3.4</v>
      </c>
      <c r="F22" s="19" t="n">
        <f aca="false">E22*Assumpcions!$B$5</f>
        <v>102</v>
      </c>
      <c r="G22" s="19" t="n">
        <f aca="false">E22*Assumpcions!$B$6</f>
        <v>119</v>
      </c>
      <c r="H22" s="19" t="n">
        <f aca="false">E22*Assumpcions!$B$7</f>
        <v>136</v>
      </c>
    </row>
    <row r="23" customFormat="false" ht="15" hidden="false" customHeight="false" outlineLevel="0" collapsed="false">
      <c r="A23" s="7" t="s">
        <v>62</v>
      </c>
      <c r="B23" s="16" t="s">
        <v>63</v>
      </c>
      <c r="C23" s="17" t="n">
        <v>14</v>
      </c>
      <c r="D23" s="14" t="n">
        <f aca="false">Assumpcions!$B$13</f>
        <v>0.45</v>
      </c>
      <c r="E23" s="18" t="n">
        <f aca="false">C23*(1-D23)</f>
        <v>7.7</v>
      </c>
      <c r="F23" s="19" t="n">
        <f aca="false">E23*Assumpcions!$B$5</f>
        <v>231</v>
      </c>
      <c r="G23" s="19" t="n">
        <f aca="false">E23*Assumpcions!$B$6</f>
        <v>269.5</v>
      </c>
      <c r="H23" s="19" t="n">
        <f aca="false">E23*Assumpcions!$B$7</f>
        <v>308</v>
      </c>
    </row>
    <row r="24" customFormat="false" ht="15" hidden="false" customHeight="false" outlineLevel="0" collapsed="false">
      <c r="A24" s="7" t="s">
        <v>69</v>
      </c>
      <c r="B24" s="16" t="s">
        <v>70</v>
      </c>
      <c r="C24" s="17" t="n">
        <v>3</v>
      </c>
      <c r="D24" s="14" t="n">
        <f aca="false">Assumpcions!$B$17</f>
        <v>0.2</v>
      </c>
      <c r="E24" s="18" t="n">
        <f aca="false">C24*(1-D24)</f>
        <v>2.4</v>
      </c>
      <c r="F24" s="19" t="n">
        <f aca="false">E24*Assumpcions!$B$5</f>
        <v>72</v>
      </c>
      <c r="G24" s="19" t="n">
        <f aca="false">E24*Assumpcions!$B$6</f>
        <v>84</v>
      </c>
      <c r="H24" s="19" t="n">
        <f aca="false">E24*Assumpcions!$B$7</f>
        <v>96</v>
      </c>
    </row>
    <row r="25" customFormat="false" ht="15" hidden="false" customHeight="false" outlineLevel="0" collapsed="false">
      <c r="A25" s="20" t="s">
        <v>68</v>
      </c>
      <c r="B25" s="21"/>
      <c r="C25" s="22" t="n">
        <f aca="false">SUM(C22:C24)</f>
        <v>21</v>
      </c>
      <c r="D25" s="21"/>
      <c r="E25" s="22" t="n">
        <f aca="false">SUM(E22:E24)</f>
        <v>13.5</v>
      </c>
      <c r="F25" s="23" t="n">
        <f aca="false">SUM(F22:F24)</f>
        <v>405</v>
      </c>
      <c r="G25" s="23" t="n">
        <f aca="false">SUM(G22:G24)</f>
        <v>472.5</v>
      </c>
      <c r="H25" s="23" t="n">
        <f aca="false">SUM(H22:H24)</f>
        <v>540</v>
      </c>
    </row>
    <row r="27" customFormat="false" ht="15" hidden="false" customHeight="false" outlineLevel="0" collapsed="false">
      <c r="A27" s="3" t="s">
        <v>47</v>
      </c>
    </row>
    <row r="28" customFormat="false" ht="15" hidden="false" customHeight="false" outlineLevel="0" collapsed="false">
      <c r="A28" s="6" t="s">
        <v>51</v>
      </c>
      <c r="B28" s="6" t="s">
        <v>7</v>
      </c>
      <c r="C28" s="6" t="s">
        <v>52</v>
      </c>
      <c r="D28" s="6" t="s">
        <v>53</v>
      </c>
      <c r="E28" s="6" t="s">
        <v>54</v>
      </c>
      <c r="F28" s="6" t="s">
        <v>55</v>
      </c>
      <c r="G28" s="6" t="s">
        <v>56</v>
      </c>
      <c r="H28" s="6" t="s">
        <v>57</v>
      </c>
    </row>
    <row r="29" customFormat="false" ht="15" hidden="false" customHeight="false" outlineLevel="0" collapsed="false">
      <c r="A29" s="7" t="s">
        <v>58</v>
      </c>
      <c r="B29" s="16" t="s">
        <v>59</v>
      </c>
      <c r="C29" s="17" t="n">
        <v>4</v>
      </c>
      <c r="D29" s="14" t="n">
        <f aca="false">Assumpcions!$B$11</f>
        <v>0.15</v>
      </c>
      <c r="E29" s="18" t="n">
        <f aca="false">C29*(1-D29)</f>
        <v>3.4</v>
      </c>
      <c r="F29" s="19" t="n">
        <f aca="false">E29*Assumpcions!$B$5</f>
        <v>102</v>
      </c>
      <c r="G29" s="19" t="n">
        <f aca="false">E29*Assumpcions!$B$6</f>
        <v>119</v>
      </c>
      <c r="H29" s="19" t="n">
        <f aca="false">E29*Assumpcions!$B$7</f>
        <v>136</v>
      </c>
    </row>
    <row r="30" customFormat="false" ht="15" hidden="false" customHeight="false" outlineLevel="0" collapsed="false">
      <c r="A30" s="7" t="s">
        <v>64</v>
      </c>
      <c r="B30" s="16" t="s">
        <v>65</v>
      </c>
      <c r="C30" s="17" t="n">
        <v>20</v>
      </c>
      <c r="D30" s="14" t="n">
        <f aca="false">Assumpcions!$B$14</f>
        <v>0.5</v>
      </c>
      <c r="E30" s="18" t="n">
        <f aca="false">C30*(1-D30)</f>
        <v>10</v>
      </c>
      <c r="F30" s="19" t="n">
        <f aca="false">E30*Assumpcions!$B$5</f>
        <v>300</v>
      </c>
      <c r="G30" s="19" t="n">
        <f aca="false">E30*Assumpcions!$B$6</f>
        <v>350</v>
      </c>
      <c r="H30" s="19" t="n">
        <f aca="false">E30*Assumpcions!$B$7</f>
        <v>400</v>
      </c>
    </row>
    <row r="31" customFormat="false" ht="15" hidden="false" customHeight="false" outlineLevel="0" collapsed="false">
      <c r="A31" s="7" t="s">
        <v>66</v>
      </c>
      <c r="B31" s="16" t="s">
        <v>67</v>
      </c>
      <c r="C31" s="17" t="n">
        <v>5</v>
      </c>
      <c r="D31" s="14" t="n">
        <f aca="false">Assumpcions!$B$16</f>
        <v>0.25</v>
      </c>
      <c r="E31" s="18" t="n">
        <f aca="false">C31*(1-D31)</f>
        <v>3.75</v>
      </c>
      <c r="F31" s="19" t="n">
        <f aca="false">E31*Assumpcions!$B$5</f>
        <v>112.5</v>
      </c>
      <c r="G31" s="19" t="n">
        <f aca="false">E31*Assumpcions!$B$6</f>
        <v>131.25</v>
      </c>
      <c r="H31" s="19" t="n">
        <f aca="false">E31*Assumpcions!$B$7</f>
        <v>150</v>
      </c>
    </row>
    <row r="32" customFormat="false" ht="15" hidden="false" customHeight="false" outlineLevel="0" collapsed="false">
      <c r="A32" s="20" t="s">
        <v>68</v>
      </c>
      <c r="B32" s="21"/>
      <c r="C32" s="22" t="n">
        <f aca="false">SUM(C29:C31)</f>
        <v>29</v>
      </c>
      <c r="D32" s="21"/>
      <c r="E32" s="22" t="n">
        <f aca="false">SUM(E29:E31)</f>
        <v>17.15</v>
      </c>
      <c r="F32" s="23" t="n">
        <f aca="false">SUM(F29:F31)</f>
        <v>514.5</v>
      </c>
      <c r="G32" s="23" t="n">
        <f aca="false">SUM(G29:G31)</f>
        <v>600.25</v>
      </c>
      <c r="H32" s="23" t="n">
        <f aca="false">SUM(H29:H31)</f>
        <v>686</v>
      </c>
    </row>
    <row r="34" customFormat="false" ht="15" hidden="false" customHeight="false" outlineLevel="0" collapsed="false">
      <c r="A34" s="24" t="s">
        <v>81</v>
      </c>
    </row>
    <row r="35" customFormat="false" ht="22.35" hidden="false" customHeight="false" outlineLevel="0" collapsed="false">
      <c r="A35" s="6" t="s">
        <v>72</v>
      </c>
      <c r="B35" s="6" t="s">
        <v>73</v>
      </c>
      <c r="C35" s="6" t="s">
        <v>74</v>
      </c>
      <c r="D35" s="6" t="s">
        <v>33</v>
      </c>
      <c r="E35" s="6" t="s">
        <v>75</v>
      </c>
      <c r="F35" s="6" t="s">
        <v>34</v>
      </c>
      <c r="G35" s="6" t="s">
        <v>35</v>
      </c>
      <c r="H35" s="6" t="s">
        <v>76</v>
      </c>
      <c r="I35" s="6" t="s">
        <v>37</v>
      </c>
      <c r="J35" s="6" t="s">
        <v>38</v>
      </c>
    </row>
    <row r="36" customFormat="false" ht="15" hidden="false" customHeight="false" outlineLevel="0" collapsed="false">
      <c r="A36" s="12" t="s">
        <v>77</v>
      </c>
      <c r="B36" s="18" t="n">
        <f aca="false">E11</f>
        <v>31.2</v>
      </c>
      <c r="C36" s="19" t="n">
        <f aca="false">F11</f>
        <v>936</v>
      </c>
      <c r="D36" s="19" t="n">
        <f aca="false">G11</f>
        <v>1092</v>
      </c>
      <c r="E36" s="19" t="n">
        <f aca="false">H11</f>
        <v>1248</v>
      </c>
      <c r="F36" s="25" t="n">
        <v>1440</v>
      </c>
      <c r="G36" s="26" t="n">
        <f aca="false">(F36-D36)/F36</f>
        <v>0.241666666666667</v>
      </c>
      <c r="H36" s="19" t="n">
        <f aca="false">MROUND(D36/(1-Assumpcions!$B$20),Assumpcions!$B$21)</f>
        <v>1460</v>
      </c>
      <c r="I36" s="27" t="n">
        <v>900</v>
      </c>
      <c r="J36" s="27" t="n">
        <v>2000</v>
      </c>
    </row>
    <row r="37" customFormat="false" ht="15" hidden="false" customHeight="false" outlineLevel="0" collapsed="false">
      <c r="A37" s="12" t="s">
        <v>78</v>
      </c>
      <c r="B37" s="18" t="n">
        <f aca="false">E18</f>
        <v>15.05</v>
      </c>
      <c r="C37" s="19" t="n">
        <f aca="false">F18</f>
        <v>451.5</v>
      </c>
      <c r="D37" s="19" t="n">
        <f aca="false">G18</f>
        <v>526.75</v>
      </c>
      <c r="E37" s="19" t="n">
        <f aca="false">H18</f>
        <v>602</v>
      </c>
      <c r="F37" s="25" t="n">
        <v>720</v>
      </c>
      <c r="G37" s="26" t="n">
        <f aca="false">(F37-D37)/F37</f>
        <v>0.268402777777778</v>
      </c>
      <c r="H37" s="19" t="n">
        <f aca="false">MROUND(D37/(1-Assumpcions!$B$20),Assumpcions!$B$21)</f>
        <v>700</v>
      </c>
      <c r="I37" s="27" t="n">
        <v>500</v>
      </c>
      <c r="J37" s="27" t="n">
        <v>1200</v>
      </c>
    </row>
    <row r="38" customFormat="false" ht="15" hidden="false" customHeight="false" outlineLevel="0" collapsed="false">
      <c r="A38" s="12" t="s">
        <v>79</v>
      </c>
      <c r="B38" s="18" t="n">
        <f aca="false">E25</f>
        <v>13.5</v>
      </c>
      <c r="C38" s="19" t="n">
        <f aca="false">F25</f>
        <v>405</v>
      </c>
      <c r="D38" s="19" t="n">
        <f aca="false">G25</f>
        <v>472.5</v>
      </c>
      <c r="E38" s="19" t="n">
        <f aca="false">H25</f>
        <v>540</v>
      </c>
      <c r="F38" s="25" t="n">
        <v>720</v>
      </c>
      <c r="G38" s="26" t="n">
        <f aca="false">(F38-D38)/F38</f>
        <v>0.34375</v>
      </c>
      <c r="H38" s="19" t="n">
        <f aca="false">MROUND(D38/(1-Assumpcions!$B$20),Assumpcions!$B$21)</f>
        <v>630</v>
      </c>
      <c r="I38" s="27" t="n">
        <v>500</v>
      </c>
      <c r="J38" s="27" t="n">
        <v>1200</v>
      </c>
    </row>
    <row r="39" customFormat="false" ht="15" hidden="false" customHeight="false" outlineLevel="0" collapsed="false">
      <c r="A39" s="12" t="s">
        <v>12</v>
      </c>
      <c r="B39" s="18" t="n">
        <f aca="false">E32</f>
        <v>17.15</v>
      </c>
      <c r="C39" s="19" t="n">
        <f aca="false">F32</f>
        <v>514.5</v>
      </c>
      <c r="D39" s="19" t="n">
        <f aca="false">G32</f>
        <v>600.25</v>
      </c>
      <c r="E39" s="19" t="n">
        <f aca="false">H32</f>
        <v>686</v>
      </c>
      <c r="F39" s="25" t="n">
        <v>960</v>
      </c>
      <c r="G39" s="26" t="n">
        <f aca="false">(F39-D39)/F39</f>
        <v>0.374739583333333</v>
      </c>
      <c r="H39" s="19" t="n">
        <f aca="false">MROUND(D39/(1-Assumpcions!$B$20),Assumpcions!$B$21)</f>
        <v>800</v>
      </c>
      <c r="I39" s="27" t="n">
        <v>700</v>
      </c>
      <c r="J39" s="27" t="n">
        <v>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3"/>
  </cols>
  <sheetData>
    <row r="1" customFormat="false" ht="18.5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3" t="s">
        <v>84</v>
      </c>
    </row>
    <row r="5" customFormat="false" ht="15" hidden="false" customHeight="false" outlineLevel="0" collapsed="false">
      <c r="A5" s="6" t="s">
        <v>85</v>
      </c>
      <c r="B5" s="6" t="s">
        <v>7</v>
      </c>
      <c r="C5" s="6" t="s">
        <v>86</v>
      </c>
      <c r="D5" s="6" t="s">
        <v>53</v>
      </c>
      <c r="E5" s="6" t="s">
        <v>54</v>
      </c>
      <c r="F5" s="6" t="s">
        <v>56</v>
      </c>
    </row>
    <row r="6" customFormat="false" ht="15" hidden="false" customHeight="false" outlineLevel="0" collapsed="false">
      <c r="A6" s="7" t="s">
        <v>87</v>
      </c>
      <c r="B6" s="16" t="s">
        <v>61</v>
      </c>
      <c r="C6" s="17" t="n">
        <v>8</v>
      </c>
      <c r="D6" s="14" t="n">
        <f aca="false">Assumpcions!$B$12</f>
        <v>0.3</v>
      </c>
      <c r="E6" s="18" t="n">
        <f aca="false">C6*(1-D6)</f>
        <v>5.6</v>
      </c>
      <c r="F6" s="19" t="n">
        <f aca="false">E6*Assumpcions!$B$6</f>
        <v>196</v>
      </c>
    </row>
    <row r="7" customFormat="false" ht="15" hidden="false" customHeight="false" outlineLevel="0" collapsed="false">
      <c r="A7" s="7" t="s">
        <v>88</v>
      </c>
      <c r="B7" s="16" t="s">
        <v>63</v>
      </c>
      <c r="C7" s="17" t="n">
        <v>7</v>
      </c>
      <c r="D7" s="14" t="n">
        <f aca="false">Assumpcions!$B$13</f>
        <v>0.45</v>
      </c>
      <c r="E7" s="18" t="n">
        <f aca="false">C7*(1-D7)</f>
        <v>3.85</v>
      </c>
      <c r="F7" s="19" t="n">
        <f aca="false">E7*Assumpcions!$B$6</f>
        <v>134.75</v>
      </c>
    </row>
    <row r="8" customFormat="false" ht="15" hidden="false" customHeight="false" outlineLevel="0" collapsed="false">
      <c r="A8" s="7" t="s">
        <v>89</v>
      </c>
      <c r="B8" s="16" t="s">
        <v>65</v>
      </c>
      <c r="C8" s="17" t="n">
        <v>9</v>
      </c>
      <c r="D8" s="14" t="n">
        <f aca="false">Assumpcions!$B$14</f>
        <v>0.5</v>
      </c>
      <c r="E8" s="18" t="n">
        <f aca="false">C8*(1-D8)</f>
        <v>4.5</v>
      </c>
      <c r="F8" s="19" t="n">
        <f aca="false">E8*Assumpcions!$B$6</f>
        <v>157.5</v>
      </c>
    </row>
    <row r="9" customFormat="false" ht="15" hidden="false" customHeight="false" outlineLevel="0" collapsed="false">
      <c r="A9" s="7" t="s">
        <v>90</v>
      </c>
      <c r="B9" s="16" t="s">
        <v>91</v>
      </c>
      <c r="C9" s="17" t="n">
        <v>4</v>
      </c>
      <c r="D9" s="14" t="n">
        <f aca="false">Assumpcions!$B$15</f>
        <v>0.6</v>
      </c>
      <c r="E9" s="18" t="n">
        <f aca="false">C9*(1-D9)</f>
        <v>1.6</v>
      </c>
      <c r="F9" s="19" t="n">
        <f aca="false">E9*Assumpcions!$B$6</f>
        <v>56</v>
      </c>
    </row>
    <row r="10" customFormat="false" ht="15" hidden="false" customHeight="false" outlineLevel="0" collapsed="false">
      <c r="A10" s="7" t="s">
        <v>92</v>
      </c>
      <c r="B10" s="16" t="s">
        <v>70</v>
      </c>
      <c r="C10" s="17" t="n">
        <v>2</v>
      </c>
      <c r="D10" s="14" t="n">
        <f aca="false">Assumpcions!$B$17</f>
        <v>0.2</v>
      </c>
      <c r="E10" s="18" t="n">
        <f aca="false">C10*(1-D10)</f>
        <v>1.6</v>
      </c>
      <c r="F10" s="19" t="n">
        <f aca="false">E10*Assumpcions!$B$6</f>
        <v>56</v>
      </c>
    </row>
    <row r="11" customFormat="false" ht="15" hidden="false" customHeight="false" outlineLevel="0" collapsed="false">
      <c r="A11" s="7" t="s">
        <v>93</v>
      </c>
      <c r="B11" s="16" t="s">
        <v>70</v>
      </c>
      <c r="C11" s="17" t="n">
        <v>2</v>
      </c>
      <c r="D11" s="14" t="n">
        <f aca="false">Assumpcions!$B$17</f>
        <v>0.2</v>
      </c>
      <c r="E11" s="18" t="n">
        <f aca="false">C11*(1-D11)</f>
        <v>1.6</v>
      </c>
      <c r="F11" s="19" t="n">
        <f aca="false">E11*Assumpcions!$B$6</f>
        <v>56</v>
      </c>
    </row>
    <row r="12" customFormat="false" ht="15" hidden="false" customHeight="false" outlineLevel="0" collapsed="false">
      <c r="A12" s="20" t="s">
        <v>94</v>
      </c>
      <c r="B12" s="21"/>
      <c r="C12" s="21"/>
      <c r="D12" s="21"/>
      <c r="E12" s="21"/>
      <c r="F12" s="23" t="n">
        <f aca="false">SUM(F9:F11)</f>
        <v>168</v>
      </c>
    </row>
    <row r="14" customFormat="false" ht="15" hidden="false" customHeight="false" outlineLevel="0" collapsed="false">
      <c r="A14" s="3" t="s">
        <v>95</v>
      </c>
    </row>
    <row r="15" customFormat="false" ht="22.35" hidden="false" customHeight="false" outlineLevel="0" collapsed="false">
      <c r="A15" s="6" t="s">
        <v>96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6" t="s">
        <v>38</v>
      </c>
    </row>
    <row r="16" customFormat="false" ht="15" hidden="false" customHeight="false" outlineLevel="0" collapsed="false">
      <c r="A16" s="12" t="s">
        <v>97</v>
      </c>
      <c r="B16" s="19" t="n">
        <f aca="false">F12+F6</f>
        <v>364</v>
      </c>
      <c r="C16" s="25" t="n">
        <v>600</v>
      </c>
      <c r="D16" s="26" t="n">
        <f aca="false">(C16-B16)/C16</f>
        <v>0.393333333333333</v>
      </c>
      <c r="E16" s="19" t="n">
        <f aca="false">MROUND(B16/(1-Assumpcions!$B$20),Assumpcions!$B$21)</f>
        <v>490</v>
      </c>
      <c r="F16" s="27" t="n">
        <v>500</v>
      </c>
      <c r="G16" s="27" t="n">
        <v>1500</v>
      </c>
    </row>
    <row r="17" customFormat="false" ht="15" hidden="false" customHeight="false" outlineLevel="0" collapsed="false">
      <c r="A17" s="12" t="s">
        <v>98</v>
      </c>
      <c r="B17" s="19" t="n">
        <f aca="false">F12+F6+F7</f>
        <v>498.75</v>
      </c>
      <c r="C17" s="25" t="n">
        <v>900</v>
      </c>
      <c r="D17" s="26" t="n">
        <f aca="false">(C17-B17)/C17</f>
        <v>0.445833333333333</v>
      </c>
      <c r="E17" s="19" t="n">
        <f aca="false">MROUND(B17/(1-Assumpcions!$B$20),Assumpcions!$B$21)</f>
        <v>670</v>
      </c>
      <c r="F17" s="27" t="n">
        <v>700</v>
      </c>
      <c r="G17" s="27" t="n">
        <v>2500</v>
      </c>
    </row>
    <row r="18" customFormat="false" ht="15" hidden="false" customHeight="false" outlineLevel="0" collapsed="false">
      <c r="A18" s="12" t="s">
        <v>99</v>
      </c>
      <c r="B18" s="19" t="n">
        <f aca="false">F12+F6+F7+F8</f>
        <v>656.25</v>
      </c>
      <c r="C18" s="25" t="n">
        <v>1100</v>
      </c>
      <c r="D18" s="26" t="n">
        <f aca="false">(C18-B18)/C18</f>
        <v>0.403409090909091</v>
      </c>
      <c r="E18" s="19" t="n">
        <f aca="false">MROUND(B18/(1-Assumpcions!$B$20),Assumpcions!$B$21)</f>
        <v>880</v>
      </c>
      <c r="F18" s="27" t="n">
        <v>900</v>
      </c>
      <c r="G18" s="27" t="n">
        <v>3500</v>
      </c>
    </row>
    <row r="19" customFormat="false" ht="15" hidden="false" customHeight="false" outlineLevel="0" collapsed="false">
      <c r="A19" s="2" t="s">
        <v>100</v>
      </c>
    </row>
    <row r="21" customFormat="false" ht="15" hidden="false" customHeight="false" outlineLevel="0" collapsed="false">
      <c r="A21" s="3" t="s">
        <v>101</v>
      </c>
    </row>
    <row r="22" customFormat="false" ht="22.35" hidden="false" customHeight="false" outlineLevel="0" collapsed="false">
      <c r="A22" s="6" t="s">
        <v>102</v>
      </c>
      <c r="B22" s="6" t="s">
        <v>103</v>
      </c>
      <c r="C22" s="6" t="s">
        <v>104</v>
      </c>
      <c r="D22" s="6" t="s">
        <v>56</v>
      </c>
      <c r="E22" s="6" t="s">
        <v>105</v>
      </c>
    </row>
    <row r="23" customFormat="false" ht="15" hidden="false" customHeight="false" outlineLevel="0" collapsed="false">
      <c r="A23" s="12" t="s">
        <v>106</v>
      </c>
      <c r="B23" s="28" t="s">
        <v>107</v>
      </c>
      <c r="C23" s="17" t="n">
        <v>0</v>
      </c>
      <c r="D23" s="19" t="n">
        <f aca="false">C23*(1-Assumpcions!$B$12)*Assumpcions!$B$6</f>
        <v>0</v>
      </c>
      <c r="E23" s="25" t="n">
        <v>0</v>
      </c>
    </row>
    <row r="24" customFormat="false" ht="15" hidden="false" customHeight="false" outlineLevel="0" collapsed="false">
      <c r="A24" s="12" t="s">
        <v>108</v>
      </c>
      <c r="B24" s="28" t="s">
        <v>109</v>
      </c>
      <c r="C24" s="17" t="n">
        <v>6</v>
      </c>
      <c r="D24" s="19" t="n">
        <f aca="false">C24*(1-Assumpcions!$B$12)*Assumpcions!$B$6</f>
        <v>147</v>
      </c>
      <c r="E24" s="25" t="n">
        <v>300</v>
      </c>
    </row>
    <row r="25" customFormat="false" ht="15" hidden="false" customHeight="false" outlineLevel="0" collapsed="false">
      <c r="A25" s="12" t="s">
        <v>110</v>
      </c>
      <c r="B25" s="28" t="s">
        <v>111</v>
      </c>
      <c r="C25" s="17" t="n">
        <v>12</v>
      </c>
      <c r="D25" s="19" t="n">
        <f aca="false">C25*(1-Assumpcions!$B$12)*Assumpcions!$B$6</f>
        <v>294</v>
      </c>
      <c r="E25" s="25" t="n">
        <v>600</v>
      </c>
    </row>
    <row r="27" customFormat="false" ht="15" hidden="false" customHeight="false" outlineLevel="0" collapsed="false">
      <c r="A27" s="3" t="s">
        <v>112</v>
      </c>
    </row>
    <row r="28" customFormat="false" ht="15" hidden="false" customHeight="false" outlineLevel="0" collapsed="false">
      <c r="A28" s="6" t="s">
        <v>113</v>
      </c>
      <c r="B28" s="6" t="s">
        <v>7</v>
      </c>
      <c r="C28" s="6" t="s">
        <v>86</v>
      </c>
      <c r="D28" s="6" t="s">
        <v>53</v>
      </c>
      <c r="E28" s="6" t="s">
        <v>54</v>
      </c>
      <c r="F28" s="6" t="s">
        <v>56</v>
      </c>
      <c r="G28" s="6" t="s">
        <v>114</v>
      </c>
      <c r="H28" s="6" t="s">
        <v>35</v>
      </c>
    </row>
    <row r="29" customFormat="false" ht="15" hidden="false" customHeight="false" outlineLevel="0" collapsed="false">
      <c r="A29" s="7" t="s">
        <v>115</v>
      </c>
      <c r="B29" s="16" t="s">
        <v>61</v>
      </c>
      <c r="C29" s="17" t="n">
        <v>12</v>
      </c>
      <c r="D29" s="14" t="n">
        <f aca="false">Assumpcions!$B$12</f>
        <v>0.3</v>
      </c>
      <c r="E29" s="18" t="n">
        <f aca="false">C29*(1-D29)</f>
        <v>8.4</v>
      </c>
      <c r="F29" s="19" t="n">
        <f aca="false">E29*Assumpcions!$B$6</f>
        <v>294</v>
      </c>
      <c r="G29" s="25" t="n">
        <v>500</v>
      </c>
      <c r="H29" s="26" t="n">
        <f aca="false">(G29-F29)/G29</f>
        <v>0.412</v>
      </c>
    </row>
    <row r="30" customFormat="false" ht="15" hidden="false" customHeight="false" outlineLevel="0" collapsed="false">
      <c r="A30" s="7" t="s">
        <v>116</v>
      </c>
      <c r="B30" s="16" t="s">
        <v>65</v>
      </c>
      <c r="C30" s="17" t="n">
        <v>8</v>
      </c>
      <c r="D30" s="14" t="n">
        <f aca="false">Assumpcions!$B$14</f>
        <v>0.5</v>
      </c>
      <c r="E30" s="18" t="n">
        <f aca="false">C30*(1-D30)</f>
        <v>4</v>
      </c>
      <c r="F30" s="19" t="n">
        <f aca="false">E30*Assumpcions!$B$6</f>
        <v>140</v>
      </c>
      <c r="G30" s="25" t="n">
        <v>350</v>
      </c>
      <c r="H30" s="26" t="n">
        <f aca="false">(G30-F30)/G30</f>
        <v>0.6</v>
      </c>
    </row>
    <row r="31" customFormat="false" ht="15" hidden="false" customHeight="false" outlineLevel="0" collapsed="false">
      <c r="A31" s="7" t="s">
        <v>117</v>
      </c>
      <c r="B31" s="16" t="s">
        <v>61</v>
      </c>
      <c r="C31" s="17" t="n">
        <v>5</v>
      </c>
      <c r="D31" s="14" t="n">
        <f aca="false">Assumpcions!$B$12</f>
        <v>0.3</v>
      </c>
      <c r="E31" s="18" t="n">
        <f aca="false">C31*(1-D31)</f>
        <v>3.5</v>
      </c>
      <c r="F31" s="19" t="n">
        <f aca="false">E31*Assumpcions!$B$6</f>
        <v>122.5</v>
      </c>
      <c r="G31" s="25" t="n">
        <v>250</v>
      </c>
      <c r="H31" s="26" t="n">
        <f aca="false">(G31-F31)/G31</f>
        <v>0.51</v>
      </c>
    </row>
    <row r="32" customFormat="false" ht="15" hidden="false" customHeight="false" outlineLevel="0" collapsed="false">
      <c r="A32" s="7" t="s">
        <v>118</v>
      </c>
      <c r="B32" s="16" t="s">
        <v>61</v>
      </c>
      <c r="C32" s="17" t="n">
        <v>5</v>
      </c>
      <c r="D32" s="14" t="n">
        <f aca="false">Assumpcions!$B$12</f>
        <v>0.3</v>
      </c>
      <c r="E32" s="18" t="n">
        <f aca="false">C32*(1-D32)</f>
        <v>3.5</v>
      </c>
      <c r="F32" s="19" t="n">
        <f aca="false">E32*Assumpcions!$B$6</f>
        <v>122.5</v>
      </c>
      <c r="G32" s="25" t="n">
        <v>250</v>
      </c>
      <c r="H32" s="26" t="n">
        <f aca="false">(G32-F32)/G32</f>
        <v>0.51</v>
      </c>
    </row>
    <row r="33" customFormat="false" ht="15" hidden="false" customHeight="false" outlineLevel="0" collapsed="false">
      <c r="A33" s="7" t="s">
        <v>119</v>
      </c>
      <c r="B33" s="16" t="s">
        <v>61</v>
      </c>
      <c r="C33" s="17" t="n">
        <v>4</v>
      </c>
      <c r="D33" s="14" t="n">
        <f aca="false">Assumpcions!$B$12</f>
        <v>0.3</v>
      </c>
      <c r="E33" s="18" t="n">
        <f aca="false">C33*(1-D33)</f>
        <v>2.8</v>
      </c>
      <c r="F33" s="19" t="n">
        <f aca="false">E33*Assumpcions!$B$6</f>
        <v>98</v>
      </c>
      <c r="G33" s="25" t="n">
        <v>250</v>
      </c>
      <c r="H33" s="26" t="n">
        <f aca="false">(G33-F33)/G33</f>
        <v>0.608</v>
      </c>
    </row>
    <row r="34" customFormat="false" ht="15" hidden="false" customHeight="false" outlineLevel="0" collapsed="false">
      <c r="A34" s="7" t="s">
        <v>120</v>
      </c>
      <c r="B34" s="16" t="s">
        <v>91</v>
      </c>
      <c r="C34" s="17" t="n">
        <v>4</v>
      </c>
      <c r="D34" s="14" t="n">
        <f aca="false">Assumpcions!$B$15</f>
        <v>0.6</v>
      </c>
      <c r="E34" s="18" t="n">
        <f aca="false">C34*(1-D34)</f>
        <v>1.6</v>
      </c>
      <c r="F34" s="19" t="n">
        <f aca="false">E34*Assumpcions!$B$6</f>
        <v>56</v>
      </c>
      <c r="G34" s="25" t="n">
        <v>200</v>
      </c>
      <c r="H34" s="26" t="n">
        <f aca="false">(G34-F34)/G34</f>
        <v>0.72</v>
      </c>
    </row>
    <row r="35" customFormat="false" ht="15" hidden="false" customHeight="false" outlineLevel="0" collapsed="false">
      <c r="A35" s="7" t="s">
        <v>121</v>
      </c>
      <c r="B35" s="16" t="s">
        <v>63</v>
      </c>
      <c r="C35" s="17" t="n">
        <v>6</v>
      </c>
      <c r="D35" s="14" t="n">
        <f aca="false">Assumpcions!$B$13</f>
        <v>0.45</v>
      </c>
      <c r="E35" s="18" t="n">
        <f aca="false">C35*(1-D35)</f>
        <v>3.3</v>
      </c>
      <c r="F35" s="19" t="n">
        <f aca="false">E35*Assumpcions!$B$6</f>
        <v>115.5</v>
      </c>
      <c r="G35" s="25" t="n">
        <v>300</v>
      </c>
      <c r="H35" s="26" t="n">
        <f aca="false">(G35-F35)/G35</f>
        <v>0.615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2"/>
    <col collapsed="false" customWidth="true" hidden="false" outlineLevel="0" max="9" min="9" style="0" width="44"/>
  </cols>
  <sheetData>
    <row r="1" customFormat="false" ht="18.5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6" t="s">
        <v>113</v>
      </c>
      <c r="B4" s="6" t="s">
        <v>7</v>
      </c>
      <c r="C4" s="6" t="s">
        <v>52</v>
      </c>
      <c r="D4" s="6" t="s">
        <v>53</v>
      </c>
      <c r="E4" s="6" t="s">
        <v>54</v>
      </c>
      <c r="F4" s="6" t="s">
        <v>56</v>
      </c>
      <c r="G4" s="6" t="s">
        <v>114</v>
      </c>
      <c r="H4" s="6" t="s">
        <v>35</v>
      </c>
      <c r="I4" s="6" t="s">
        <v>124</v>
      </c>
    </row>
    <row r="5" customFormat="false" ht="15" hidden="false" customHeight="false" outlineLevel="0" collapsed="false">
      <c r="A5" s="7" t="s">
        <v>125</v>
      </c>
      <c r="B5" s="16" t="s">
        <v>65</v>
      </c>
      <c r="C5" s="17" t="n">
        <v>3</v>
      </c>
      <c r="D5" s="14" t="n">
        <f aca="false">Assumpcions!$B$14</f>
        <v>0.5</v>
      </c>
      <c r="E5" s="18" t="n">
        <f aca="false">C5*(1-D5)</f>
        <v>1.5</v>
      </c>
      <c r="F5" s="19" t="n">
        <f aca="false">E5*Assumpcions!$B$6</f>
        <v>52.5</v>
      </c>
      <c r="G5" s="25" t="n">
        <v>200</v>
      </c>
      <c r="H5" s="26" t="n">
        <f aca="false">(G5-F5)/G5</f>
        <v>0.7375</v>
      </c>
      <c r="I5" s="29" t="s">
        <v>126</v>
      </c>
    </row>
    <row r="6" customFormat="false" ht="15" hidden="false" customHeight="false" outlineLevel="0" collapsed="false">
      <c r="A6" s="7" t="s">
        <v>127</v>
      </c>
      <c r="B6" s="16" t="s">
        <v>65</v>
      </c>
      <c r="C6" s="17" t="n">
        <v>4</v>
      </c>
      <c r="D6" s="14" t="n">
        <f aca="false">Assumpcions!$B$14</f>
        <v>0.5</v>
      </c>
      <c r="E6" s="18" t="n">
        <f aca="false">C6*(1-D6)</f>
        <v>2</v>
      </c>
      <c r="F6" s="19" t="n">
        <f aca="false">E6*Assumpcions!$B$6</f>
        <v>70</v>
      </c>
      <c r="G6" s="25" t="n">
        <v>150</v>
      </c>
      <c r="H6" s="26" t="n">
        <f aca="false">(G6-F6)/G6</f>
        <v>0.533333333333333</v>
      </c>
      <c r="I6" s="29" t="s">
        <v>128</v>
      </c>
    </row>
    <row r="7" customFormat="false" ht="15" hidden="false" customHeight="false" outlineLevel="0" collapsed="false">
      <c r="A7" s="7" t="s">
        <v>129</v>
      </c>
      <c r="B7" s="16" t="s">
        <v>65</v>
      </c>
      <c r="C7" s="17" t="n">
        <v>8</v>
      </c>
      <c r="D7" s="14" t="n">
        <f aca="false">Assumpcions!$B$14</f>
        <v>0.5</v>
      </c>
      <c r="E7" s="18" t="n">
        <f aca="false">C7*(1-D7)</f>
        <v>4</v>
      </c>
      <c r="F7" s="19" t="n">
        <f aca="false">E7*Assumpcions!$B$6</f>
        <v>140</v>
      </c>
      <c r="G7" s="25" t="n">
        <v>400</v>
      </c>
      <c r="H7" s="26" t="n">
        <f aca="false">(G7-F7)/G7</f>
        <v>0.65</v>
      </c>
      <c r="I7" s="29" t="s">
        <v>130</v>
      </c>
    </row>
    <row r="8" customFormat="false" ht="15" hidden="false" customHeight="false" outlineLevel="0" collapsed="false">
      <c r="A8" s="7" t="s">
        <v>131</v>
      </c>
      <c r="B8" s="16" t="s">
        <v>65</v>
      </c>
      <c r="C8" s="17" t="n">
        <v>12</v>
      </c>
      <c r="D8" s="14" t="n">
        <f aca="false">Assumpcions!$B$14</f>
        <v>0.5</v>
      </c>
      <c r="E8" s="18" t="n">
        <f aca="false">C8*(1-D8)</f>
        <v>6</v>
      </c>
      <c r="F8" s="19" t="n">
        <f aca="false">E8*Assumpcions!$B$6</f>
        <v>210</v>
      </c>
      <c r="G8" s="25" t="n">
        <v>500</v>
      </c>
      <c r="H8" s="26" t="n">
        <f aca="false">(G8-F8)/G8</f>
        <v>0.58</v>
      </c>
      <c r="I8" s="29" t="s">
        <v>132</v>
      </c>
    </row>
    <row r="9" customFormat="false" ht="15" hidden="false" customHeight="false" outlineLevel="0" collapsed="false">
      <c r="A9" s="7" t="s">
        <v>133</v>
      </c>
      <c r="B9" s="16" t="s">
        <v>91</v>
      </c>
      <c r="C9" s="17" t="n">
        <v>1</v>
      </c>
      <c r="D9" s="14" t="n">
        <f aca="false">Assumpcions!$B$15</f>
        <v>0.6</v>
      </c>
      <c r="E9" s="18" t="n">
        <f aca="false">C9*(1-D9)</f>
        <v>0.4</v>
      </c>
      <c r="F9" s="19" t="n">
        <f aca="false">E9*Assumpcions!$B$6</f>
        <v>14</v>
      </c>
      <c r="G9" s="25" t="n">
        <v>80</v>
      </c>
      <c r="H9" s="26" t="n">
        <f aca="false">(G9-F9)/G9</f>
        <v>0.825</v>
      </c>
      <c r="I9" s="29" t="s">
        <v>134</v>
      </c>
    </row>
    <row r="11" customFormat="false" ht="15" hidden="false" customHeight="false" outlineLevel="0" collapsed="false">
      <c r="A11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</cols>
  <sheetData>
    <row r="1" customFormat="false" ht="18.5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22.35" hidden="false" customHeight="false" outlineLevel="0" collapsed="false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  <c r="G4" s="6" t="s">
        <v>144</v>
      </c>
    </row>
    <row r="5" customFormat="false" ht="15" hidden="false" customHeight="false" outlineLevel="0" collapsed="false">
      <c r="A5" s="7" t="s">
        <v>145</v>
      </c>
      <c r="B5" s="30" t="n">
        <v>40</v>
      </c>
      <c r="C5" s="31" t="n">
        <v>0</v>
      </c>
      <c r="D5" s="19" t="n">
        <f aca="false">B5*C5</f>
        <v>0</v>
      </c>
      <c r="E5" s="32" t="n">
        <v>45</v>
      </c>
      <c r="F5" s="32" t="n">
        <v>70</v>
      </c>
      <c r="G5" s="33" t="n">
        <f aca="false">B5-(E5+F5)/2</f>
        <v>-17.5</v>
      </c>
    </row>
    <row r="6" customFormat="false" ht="15" hidden="false" customHeight="false" outlineLevel="0" collapsed="false">
      <c r="A6" s="7" t="s">
        <v>146</v>
      </c>
      <c r="B6" s="30" t="n">
        <v>38</v>
      </c>
      <c r="C6" s="31" t="n">
        <v>152</v>
      </c>
      <c r="D6" s="19" t="n">
        <f aca="false">B6*C6</f>
        <v>5776</v>
      </c>
      <c r="E6" s="32" t="n">
        <v>40</v>
      </c>
      <c r="F6" s="32" t="n">
        <v>60</v>
      </c>
      <c r="G6" s="33" t="n">
        <f aca="false">B6-(E6+F6)/2</f>
        <v>-12</v>
      </c>
    </row>
    <row r="7" customFormat="false" ht="15" hidden="false" customHeight="false" outlineLevel="0" collapsed="false">
      <c r="A7" s="7" t="s">
        <v>147</v>
      </c>
      <c r="B7" s="30" t="n">
        <v>35</v>
      </c>
      <c r="C7" s="31" t="n">
        <v>160</v>
      </c>
      <c r="D7" s="19" t="n">
        <f aca="false">B7*C7</f>
        <v>5600</v>
      </c>
      <c r="E7" s="32" t="n">
        <v>38</v>
      </c>
      <c r="F7" s="32" t="n">
        <v>55</v>
      </c>
      <c r="G7" s="33" t="n">
        <f aca="false">B7-(E7+F7)/2</f>
        <v>-11.5</v>
      </c>
    </row>
    <row r="8" customFormat="false" ht="15" hidden="false" customHeight="false" outlineLevel="0" collapsed="false">
      <c r="A8" s="7" t="s">
        <v>148</v>
      </c>
      <c r="B8" s="30" t="n">
        <v>31</v>
      </c>
      <c r="C8" s="31" t="n">
        <v>160</v>
      </c>
      <c r="D8" s="19" t="n">
        <f aca="false">B8*C8</f>
        <v>4960</v>
      </c>
      <c r="E8" s="32" t="n">
        <v>35</v>
      </c>
      <c r="F8" s="32" t="n">
        <v>50</v>
      </c>
      <c r="G8" s="33" t="n">
        <f aca="false">B8-(E8+F8)/2</f>
        <v>-11.5</v>
      </c>
    </row>
    <row r="10" customFormat="false" ht="15" hidden="false" customHeight="false" outlineLevel="0" collapsed="false">
      <c r="A10" s="2" t="s">
        <v>149</v>
      </c>
    </row>
    <row r="11" customFormat="false" ht="15" hidden="false" customHeight="false" outlineLevel="0" collapsed="false">
      <c r="A11" s="2" t="s">
        <v>150</v>
      </c>
    </row>
    <row r="12" customFormat="false" ht="15" hidden="false" customHeight="false" outlineLevel="0" collapsed="false">
      <c r="A12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2026-07-13T20:51:28Z</dcterms:created>
  <dc:creator>openpyxl</dc:creator>
  <dc:description/>
  <dc:language>en-US</dc:language>
  <cp:lastModifiedBy/>
  <dcterms:modified xsi:type="dcterms:W3CDTF">2026-07-13T20:51:28Z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